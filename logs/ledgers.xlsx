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mann/Documents/Code_Learning/nhl_fromscratch/logs/"/>
    </mc:Choice>
  </mc:AlternateContent>
  <xr:revisionPtr revIDLastSave="0" documentId="13_ncr:1_{2F701680-CD5B-E645-9E02-8419FB34A85E}" xr6:coauthVersionLast="47" xr6:coauthVersionMax="47" xr10:uidLastSave="{00000000-0000-0000-0000-000000000000}"/>
  <bookViews>
    <workbookView xWindow="-28800" yWindow="5100" windowWidth="28800" windowHeight="16100" xr2:uid="{AA3C7227-93D8-9842-83EA-A7D820318F3A}"/>
  </bookViews>
  <sheets>
    <sheet name="tenth_opp" sheetId="1" r:id="rId1"/>
    <sheet name="no_opp" sheetId="2" r:id="rId2"/>
    <sheet name="w3" sheetId="4" r:id="rId3"/>
    <sheet name="stat_sig_w3_p2p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" l="1"/>
  <c r="K66" i="1"/>
  <c r="L66" i="1" s="1"/>
  <c r="J66" i="1"/>
  <c r="K65" i="1"/>
  <c r="L65" i="1" s="1"/>
  <c r="J65" i="1"/>
  <c r="G64" i="4"/>
  <c r="H64" i="4"/>
  <c r="G64" i="2"/>
  <c r="H64" i="2"/>
  <c r="G64" i="1"/>
  <c r="H64" i="1"/>
  <c r="I64" i="1"/>
  <c r="K64" i="1"/>
  <c r="L64" i="1"/>
  <c r="J64" i="1"/>
  <c r="G64" i="3"/>
  <c r="H64" i="3"/>
  <c r="K3" i="2"/>
  <c r="K2" i="2"/>
  <c r="K2" i="4"/>
  <c r="K3" i="4"/>
  <c r="K2" i="3"/>
  <c r="K3" i="3"/>
  <c r="O3" i="1"/>
  <c r="O2" i="1"/>
  <c r="O5" i="1"/>
  <c r="K51" i="1"/>
  <c r="L56" i="1" s="1"/>
  <c r="L51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2" i="1"/>
  <c r="L53" i="1"/>
  <c r="L54" i="1"/>
  <c r="L55" i="1"/>
  <c r="L57" i="1"/>
  <c r="L58" i="1"/>
  <c r="L59" i="1"/>
  <c r="L60" i="1"/>
  <c r="L61" i="1"/>
  <c r="L62" i="1"/>
  <c r="L63" i="1"/>
  <c r="L35" i="1"/>
  <c r="K30" i="1"/>
  <c r="H36" i="1"/>
  <c r="H35" i="1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8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G63" i="4"/>
  <c r="G63" i="2"/>
  <c r="G63" i="1"/>
  <c r="H63" i="1"/>
  <c r="I63" i="1"/>
  <c r="G63" i="3"/>
  <c r="H63" i="3"/>
  <c r="K63" i="1"/>
  <c r="J63" i="1"/>
  <c r="G61" i="4"/>
  <c r="G62" i="4"/>
  <c r="G61" i="2"/>
  <c r="G62" i="2"/>
  <c r="G61" i="1"/>
  <c r="H61" i="1"/>
  <c r="I61" i="1"/>
  <c r="G62" i="1"/>
  <c r="H62" i="1"/>
  <c r="I62" i="1"/>
  <c r="G61" i="3"/>
  <c r="H61" i="3"/>
  <c r="G62" i="3"/>
  <c r="H62" i="3"/>
  <c r="K62" i="1"/>
  <c r="J62" i="1"/>
  <c r="K61" i="1"/>
  <c r="J61" i="1"/>
  <c r="G60" i="4"/>
  <c r="G60" i="2"/>
  <c r="G60" i="1"/>
  <c r="H60" i="1"/>
  <c r="I60" i="1"/>
  <c r="G60" i="3"/>
  <c r="H60" i="3"/>
  <c r="K60" i="1"/>
  <c r="J60" i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40" i="3"/>
  <c r="H41" i="3"/>
  <c r="H42" i="3"/>
  <c r="H43" i="3"/>
  <c r="H44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11" i="3"/>
  <c r="H10" i="3"/>
  <c r="H9" i="3"/>
  <c r="H8" i="3"/>
  <c r="G59" i="3"/>
  <c r="G59" i="4"/>
  <c r="G59" i="2"/>
  <c r="G59" i="1"/>
  <c r="H59" i="1"/>
  <c r="I59" i="1"/>
  <c r="K59" i="1"/>
  <c r="J59" i="1"/>
  <c r="G58" i="3" l="1"/>
  <c r="G58" i="4"/>
  <c r="G58" i="2"/>
  <c r="G58" i="1"/>
  <c r="H58" i="1"/>
  <c r="I58" i="1"/>
  <c r="K58" i="1"/>
  <c r="J58" i="1"/>
  <c r="G57" i="4"/>
  <c r="G57" i="2"/>
  <c r="K57" i="1"/>
  <c r="J57" i="1"/>
  <c r="I57" i="1"/>
  <c r="G57" i="1"/>
  <c r="H57" i="1"/>
  <c r="G57" i="3"/>
  <c r="G56" i="4"/>
  <c r="G56" i="3"/>
  <c r="G56" i="2"/>
  <c r="G56" i="1"/>
  <c r="H56" i="1"/>
  <c r="I56" i="1"/>
  <c r="K56" i="1" l="1"/>
  <c r="J56" i="1"/>
  <c r="K54" i="1"/>
  <c r="K55" i="1"/>
  <c r="J55" i="1"/>
  <c r="J54" i="1" l="1"/>
  <c r="G55" i="3" l="1"/>
  <c r="G55" i="4"/>
  <c r="G54" i="2"/>
  <c r="G55" i="2"/>
  <c r="G54" i="1"/>
  <c r="H54" i="1"/>
  <c r="I54" i="1"/>
  <c r="G55" i="1"/>
  <c r="H55" i="1"/>
  <c r="I55" i="1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53" i="2"/>
  <c r="K53" i="1"/>
  <c r="K52" i="1"/>
  <c r="K50" i="1"/>
  <c r="K49" i="1"/>
  <c r="K48" i="1"/>
  <c r="K47" i="1"/>
  <c r="K46" i="1"/>
  <c r="K44" i="1"/>
  <c r="J53" i="1"/>
  <c r="H53" i="1"/>
  <c r="I53" i="1"/>
  <c r="G53" i="1"/>
  <c r="G50" i="2"/>
  <c r="G51" i="2"/>
  <c r="G52" i="2"/>
  <c r="G50" i="1"/>
  <c r="H50" i="1"/>
  <c r="I50" i="1"/>
  <c r="G51" i="1"/>
  <c r="H51" i="1"/>
  <c r="I51" i="1"/>
  <c r="G52" i="1"/>
  <c r="H52" i="1"/>
  <c r="I52" i="1"/>
  <c r="J52" i="1"/>
  <c r="J50" i="1"/>
  <c r="G49" i="2" l="1"/>
  <c r="J49" i="1"/>
  <c r="H49" i="1"/>
  <c r="I49" i="1"/>
  <c r="G49" i="1"/>
  <c r="G48" i="2"/>
  <c r="H48" i="1"/>
  <c r="I48" i="1"/>
  <c r="G48" i="1"/>
  <c r="J48" i="1"/>
  <c r="G47" i="2"/>
  <c r="J47" i="1"/>
  <c r="H47" i="1"/>
  <c r="I47" i="1"/>
  <c r="G47" i="1"/>
  <c r="H46" i="1"/>
  <c r="G46" i="2"/>
  <c r="I46" i="1"/>
  <c r="G46" i="1"/>
  <c r="G45" i="2"/>
  <c r="H45" i="1"/>
  <c r="P43" i="1" s="1"/>
  <c r="I45" i="1"/>
  <c r="G45" i="1"/>
  <c r="J46" i="1"/>
  <c r="J45" i="1"/>
  <c r="G44" i="2"/>
  <c r="H44" i="1"/>
  <c r="I44" i="1"/>
  <c r="G44" i="1"/>
  <c r="J44" i="1"/>
  <c r="S2" i="1"/>
  <c r="Q2" i="1"/>
  <c r="G43" i="2"/>
  <c r="H43" i="1"/>
  <c r="I43" i="1"/>
  <c r="G43" i="1"/>
  <c r="J43" i="1"/>
  <c r="H9" i="1"/>
  <c r="H8" i="1"/>
  <c r="P42" i="1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7" i="1"/>
  <c r="H38" i="1"/>
  <c r="H39" i="1"/>
  <c r="H40" i="1"/>
  <c r="H41" i="1"/>
  <c r="H42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9" i="1"/>
  <c r="G42" i="2"/>
  <c r="G42" i="1"/>
  <c r="J42" i="1"/>
  <c r="G41" i="1"/>
  <c r="G41" i="2"/>
  <c r="J41" i="1"/>
  <c r="G40" i="2" l="1"/>
  <c r="J40" i="1"/>
  <c r="G40" i="1"/>
  <c r="G39" i="2"/>
  <c r="J39" i="1"/>
  <c r="G39" i="1"/>
  <c r="G38" i="2"/>
  <c r="G38" i="1"/>
  <c r="J38" i="1"/>
  <c r="G37" i="2"/>
  <c r="G37" i="1"/>
  <c r="J37" i="1"/>
  <c r="R2" i="1"/>
  <c r="J36" i="1"/>
  <c r="J35" i="1" l="1"/>
  <c r="J34" i="1" l="1"/>
  <c r="J33" i="1" l="1"/>
  <c r="J32" i="1" l="1"/>
  <c r="J31" i="1" l="1"/>
  <c r="J30" i="1" l="1"/>
  <c r="K31" i="1" l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5" i="1" s="1"/>
  <c r="G34" i="2"/>
  <c r="G35" i="2"/>
  <c r="G36" i="2"/>
  <c r="G34" i="1"/>
  <c r="G33" i="1"/>
  <c r="G35" i="1"/>
  <c r="G36" i="1"/>
  <c r="G33" i="2"/>
  <c r="G32" i="2"/>
  <c r="G32" i="1"/>
  <c r="G31" i="2"/>
  <c r="G31" i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P58" i="1" l="1"/>
  <c r="P50" i="1"/>
  <c r="P52" i="1"/>
  <c r="P54" i="1"/>
  <c r="P55" i="1"/>
  <c r="P51" i="1"/>
  <c r="P49" i="1"/>
  <c r="P53" i="1"/>
  <c r="P56" i="1"/>
  <c r="P57" i="1"/>
  <c r="P2" i="1"/>
</calcChain>
</file>

<file path=xl/sharedStrings.xml><?xml version="1.0" encoding="utf-8"?>
<sst xmlns="http://schemas.openxmlformats.org/spreadsheetml/2006/main" count="183" uniqueCount="68">
  <si>
    <t xml:space="preserve"> 2024-10-11</t>
  </si>
  <si>
    <t xml:space="preserve"> 2024-10-15</t>
  </si>
  <si>
    <t xml:space="preserve"> 2024-10-16</t>
  </si>
  <si>
    <t xml:space="preserve"> 2024-10-17</t>
  </si>
  <si>
    <t xml:space="preserve"> 2024-10-18</t>
  </si>
  <si>
    <t xml:space="preserve"> 2024-10-19</t>
  </si>
  <si>
    <t xml:space="preserve"> 2024-10-20</t>
  </si>
  <si>
    <t xml:space="preserve"> 2024-10-21</t>
  </si>
  <si>
    <t xml:space="preserve"> 2024-10-22</t>
  </si>
  <si>
    <t xml:space="preserve"> 2024-10-23</t>
  </si>
  <si>
    <t xml:space="preserve"> 2024-10-24</t>
  </si>
  <si>
    <t xml:space="preserve"> 2024-10-25</t>
  </si>
  <si>
    <t xml:space="preserve"> 2024-10-26</t>
  </si>
  <si>
    <t xml:space="preserve"> 2024-10-27</t>
  </si>
  <si>
    <t xml:space="preserve"> 2024-10-28</t>
  </si>
  <si>
    <t xml:space="preserve"> 2024-10-29</t>
  </si>
  <si>
    <t xml:space="preserve"> 2024-10-30</t>
  </si>
  <si>
    <t xml:space="preserve"> 2024-10-31</t>
  </si>
  <si>
    <t xml:space="preserve"> 2024-11-01</t>
  </si>
  <si>
    <t xml:space="preserve"> 2024-11-02</t>
  </si>
  <si>
    <t xml:space="preserve"> 2024-11-03</t>
  </si>
  <si>
    <t xml:space="preserve"> 2024-11-04</t>
  </si>
  <si>
    <t xml:space="preserve"> 2024-11-05</t>
  </si>
  <si>
    <t xml:space="preserve"> 2024-11-06</t>
  </si>
  <si>
    <t xml:space="preserve"> 2024-11-07</t>
  </si>
  <si>
    <t xml:space="preserve"> 2024-11-08</t>
  </si>
  <si>
    <t xml:space="preserve"> 2024-11-09</t>
  </si>
  <si>
    <t xml:space="preserve"> 2024-11-10</t>
  </si>
  <si>
    <t xml:space="preserve"> 2024-11-11</t>
  </si>
  <si>
    <t>date</t>
  </si>
  <si>
    <t>num_bets</t>
  </si>
  <si>
    <t>bet_total</t>
  </si>
  <si>
    <t>initial bankroll</t>
  </si>
  <si>
    <t>final bankroll</t>
  </si>
  <si>
    <t>delta %</t>
  </si>
  <si>
    <t>AVGS</t>
  </si>
  <si>
    <t>del %</t>
  </si>
  <si>
    <t xml:space="preserve"> 2024-11-13</t>
  </si>
  <si>
    <t>comp avg:</t>
  </si>
  <si>
    <t>comp. avg.</t>
  </si>
  <si>
    <t>avg_bet:</t>
  </si>
  <si>
    <t>yield:</t>
  </si>
  <si>
    <t>REAL DOLLARS</t>
  </si>
  <si>
    <t>del % avg</t>
  </si>
  <si>
    <t>real avg:</t>
  </si>
  <si>
    <t>7-day change</t>
  </si>
  <si>
    <t>7-day daily comp:</t>
  </si>
  <si>
    <t>Average 7-day:</t>
  </si>
  <si>
    <t>std:</t>
  </si>
  <si>
    <t>std</t>
  </si>
  <si>
    <t>-20:-15</t>
  </si>
  <si>
    <t>Min</t>
  </si>
  <si>
    <t>Max</t>
  </si>
  <si>
    <t>count</t>
  </si>
  <si>
    <t>-15:-10</t>
  </si>
  <si>
    <t>-10:-5</t>
  </si>
  <si>
    <t>-5:0</t>
  </si>
  <si>
    <t>0:5</t>
  </si>
  <si>
    <t>5:10</t>
  </si>
  <si>
    <t>10:15</t>
  </si>
  <si>
    <t>15:20</t>
  </si>
  <si>
    <t>20:25</t>
  </si>
  <si>
    <t>25:30</t>
  </si>
  <si>
    <t>Bin</t>
  </si>
  <si>
    <t>More</t>
  </si>
  <si>
    <t>Frequency</t>
  </si>
  <si>
    <t>real dollars change</t>
  </si>
  <si>
    <t>7-day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</si>
</sst>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164" fontId="0" fillId="0" borderId="0" xfId="2" applyNumberFormat="1" applyFont="1"/>
    <xf numFmtId="164" fontId="0" fillId="0" borderId="0" xfId="0" applyNumberFormat="1"/>
    <xf numFmtId="14" fontId="0" fillId="0" borderId="0" xfId="0" applyNumberFormat="1"/>
    <xf numFmtId="10" fontId="0" fillId="0" borderId="0" xfId="2" applyNumberFormat="1" applyFont="1"/>
    <xf numFmtId="9" fontId="0" fillId="0" borderId="0" xfId="2" applyFont="1"/>
    <xf numFmtId="0" fontId="0" fillId="0" borderId="0" xfId="0" quotePrefix="1"/>
    <xf numFmtId="9" fontId="0" fillId="0" borderId="0" xfId="2" quotePrefix="1" applyFont="1"/>
    <xf numFmtId="164" fontId="0" fillId="0" borderId="0" xfId="2" quotePrefix="1" applyNumberFormat="1" applyFont="1"/>
    <xf numFmtId="9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no_opp, x_10=4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no_opp!$G$2:$G$65</c:f>
              <c:numCache>
                <c:formatCode>0.0%</c:formatCode>
                <c:ptCount val="64"/>
                <c:pt idx="0">
                  <c:v>-9.64E-2</c:v>
                </c:pt>
                <c:pt idx="1">
                  <c:v>-4.4267374944666413E-3</c:v>
                </c:pt>
                <c:pt idx="2">
                  <c:v>-9.926634059582029E-2</c:v>
                </c:pt>
                <c:pt idx="3">
                  <c:v>3.5542391706775214E-2</c:v>
                </c:pt>
                <c:pt idx="4">
                  <c:v>-0.17316172089143131</c:v>
                </c:pt>
                <c:pt idx="5">
                  <c:v>-3.6754107812049547E-2</c:v>
                </c:pt>
                <c:pt idx="6">
                  <c:v>0.14334879545114468</c:v>
                </c:pt>
                <c:pt idx="7">
                  <c:v>7.6298913754744124E-2</c:v>
                </c:pt>
                <c:pt idx="8">
                  <c:v>-5.8852140077820886E-2</c:v>
                </c:pt>
                <c:pt idx="9">
                  <c:v>-3.6563307493540212E-2</c:v>
                </c:pt>
                <c:pt idx="10">
                  <c:v>0.16937106074829034</c:v>
                </c:pt>
                <c:pt idx="11">
                  <c:v>0.19105504587155958</c:v>
                </c:pt>
                <c:pt idx="12">
                  <c:v>0.10283073367995385</c:v>
                </c:pt>
                <c:pt idx="13">
                  <c:v>4.7756242360747325E-2</c:v>
                </c:pt>
                <c:pt idx="14">
                  <c:v>0.31955670360803273</c:v>
                </c:pt>
                <c:pt idx="15">
                  <c:v>0.18300075776711283</c:v>
                </c:pt>
                <c:pt idx="16">
                  <c:v>2.1351553325500182E-4</c:v>
                </c:pt>
                <c:pt idx="17">
                  <c:v>4.6002775109403378E-2</c:v>
                </c:pt>
                <c:pt idx="18">
                  <c:v>-9.1836734693877556E-2</c:v>
                </c:pt>
                <c:pt idx="19">
                  <c:v>-5.9606741573033785E-2</c:v>
                </c:pt>
                <c:pt idx="20">
                  <c:v>0.18854172889658882</c:v>
                </c:pt>
                <c:pt idx="21">
                  <c:v>3.2520733852726809E-2</c:v>
                </c:pt>
                <c:pt idx="22">
                  <c:v>1.6405413299581367E-2</c:v>
                </c:pt>
                <c:pt idx="23">
                  <c:v>8.45825949518655E-2</c:v>
                </c:pt>
                <c:pt idx="24">
                  <c:v>0.201059836608523</c:v>
                </c:pt>
                <c:pt idx="25">
                  <c:v>0.16526950511066985</c:v>
                </c:pt>
                <c:pt idx="26">
                  <c:v>0.12368661849619786</c:v>
                </c:pt>
                <c:pt idx="27">
                  <c:v>-0.19973043551512087</c:v>
                </c:pt>
                <c:pt idx="28">
                  <c:v>0.17954385964912287</c:v>
                </c:pt>
                <c:pt idx="29">
                  <c:v>3.3256983074039938E-2</c:v>
                </c:pt>
                <c:pt idx="30">
                  <c:v>-7.0418885850007301E-2</c:v>
                </c:pt>
                <c:pt idx="31">
                  <c:v>-7.0612282820774032E-3</c:v>
                </c:pt>
                <c:pt idx="32">
                  <c:v>-2.4640528991609848E-2</c:v>
                </c:pt>
                <c:pt idx="33">
                  <c:v>0.17425090339291999</c:v>
                </c:pt>
                <c:pt idx="34">
                  <c:v>0.14744008714596946</c:v>
                </c:pt>
                <c:pt idx="35">
                  <c:v>0.10751412161199984</c:v>
                </c:pt>
                <c:pt idx="36">
                  <c:v>-2.36584947711297E-2</c:v>
                </c:pt>
                <c:pt idx="37">
                  <c:v>0.10173397717295865</c:v>
                </c:pt>
                <c:pt idx="38">
                  <c:v>-0.19493973503336978</c:v>
                </c:pt>
                <c:pt idx="39">
                  <c:v>-6.4909675822816176E-2</c:v>
                </c:pt>
                <c:pt idx="40">
                  <c:v>5.2928255749331778E-2</c:v>
                </c:pt>
                <c:pt idx="41">
                  <c:v>0.12092111217255776</c:v>
                </c:pt>
                <c:pt idx="42">
                  <c:v>-0.37117541498429796</c:v>
                </c:pt>
                <c:pt idx="43">
                  <c:v>5.9501302036885126E-2</c:v>
                </c:pt>
                <c:pt idx="44">
                  <c:v>7.3936904481330723E-2</c:v>
                </c:pt>
                <c:pt idx="45">
                  <c:v>-0.10477474370630471</c:v>
                </c:pt>
                <c:pt idx="46">
                  <c:v>-8.9021187182630065E-2</c:v>
                </c:pt>
                <c:pt idx="47">
                  <c:v>-8.6918079421827499E-2</c:v>
                </c:pt>
                <c:pt idx="48">
                  <c:v>1.1577972381273156E-2</c:v>
                </c:pt>
                <c:pt idx="49">
                  <c:v>0.36017813293378276</c:v>
                </c:pt>
                <c:pt idx="50">
                  <c:v>-2.4509653927358377E-2</c:v>
                </c:pt>
                <c:pt idx="51">
                  <c:v>2.4247176913425223E-2</c:v>
                </c:pt>
                <c:pt idx="52">
                  <c:v>-4.419195785992084E-2</c:v>
                </c:pt>
                <c:pt idx="53">
                  <c:v>0.14495354053188064</c:v>
                </c:pt>
                <c:pt idx="54">
                  <c:v>0.28625398779873518</c:v>
                </c:pt>
                <c:pt idx="55">
                  <c:v>3.7464917433587944E-2</c:v>
                </c:pt>
                <c:pt idx="56">
                  <c:v>8.8895879207297857E-2</c:v>
                </c:pt>
                <c:pt idx="57">
                  <c:v>-8.6896232955858577E-2</c:v>
                </c:pt>
                <c:pt idx="58">
                  <c:v>2.6913017801400471E-2</c:v>
                </c:pt>
                <c:pt idx="59">
                  <c:v>-0.14767499178442323</c:v>
                </c:pt>
                <c:pt idx="60">
                  <c:v>9.1811653573666257E-3</c:v>
                </c:pt>
                <c:pt idx="61">
                  <c:v>9.0498818023352939E-2</c:v>
                </c:pt>
                <c:pt idx="62">
                  <c:v>5.1325844664871133E-2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0-7448-9308-2DCE2DBC8C2E}"/>
            </c:ext>
          </c:extLst>
        </c:ser>
        <c:ser>
          <c:idx val="1"/>
          <c:order val="1"/>
          <c:tx>
            <c:v>1/10 opp, x_10=4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tenth_opp!$G$2:$G$65</c:f>
              <c:numCache>
                <c:formatCode>0.0%</c:formatCode>
                <c:ptCount val="64"/>
                <c:pt idx="0">
                  <c:v>-9.6700000000000022E-2</c:v>
                </c:pt>
                <c:pt idx="1">
                  <c:v>4.2067972987932635E-3</c:v>
                </c:pt>
                <c:pt idx="2">
                  <c:v>-8.6760004409657046E-2</c:v>
                </c:pt>
                <c:pt idx="3">
                  <c:v>3.9111540318686563E-2</c:v>
                </c:pt>
                <c:pt idx="4">
                  <c:v>-0.1727462825278811</c:v>
                </c:pt>
                <c:pt idx="5">
                  <c:v>-3.9882039039460603E-2</c:v>
                </c:pt>
                <c:pt idx="6">
                  <c:v>0.1477256106479449</c:v>
                </c:pt>
                <c:pt idx="7">
                  <c:v>8.1942143494329128E-2</c:v>
                </c:pt>
                <c:pt idx="8">
                  <c:v>-0.10365135453474689</c:v>
                </c:pt>
                <c:pt idx="9">
                  <c:v>-3.7450722733245657E-2</c:v>
                </c:pt>
                <c:pt idx="10">
                  <c:v>0.17774744027303749</c:v>
                </c:pt>
                <c:pt idx="11">
                  <c:v>0.17827750086936375</c:v>
                </c:pt>
                <c:pt idx="12">
                  <c:v>0.12818494835218888</c:v>
                </c:pt>
                <c:pt idx="13">
                  <c:v>3.9675619114056475E-2</c:v>
                </c:pt>
                <c:pt idx="14">
                  <c:v>-7.8000503229053067E-2</c:v>
                </c:pt>
                <c:pt idx="15">
                  <c:v>0.21340853270262874</c:v>
                </c:pt>
                <c:pt idx="16">
                  <c:v>2.4514581302946328E-2</c:v>
                </c:pt>
                <c:pt idx="17">
                  <c:v>3.6001756183228567E-2</c:v>
                </c:pt>
                <c:pt idx="18">
                  <c:v>-8.2356265009182264E-2</c:v>
                </c:pt>
                <c:pt idx="19">
                  <c:v>-4.7182881773398876E-2</c:v>
                </c:pt>
                <c:pt idx="20">
                  <c:v>0.18224412311172136</c:v>
                </c:pt>
                <c:pt idx="21">
                  <c:v>1.2845917321489549E-2</c:v>
                </c:pt>
                <c:pt idx="22">
                  <c:v>0.14551710180125496</c:v>
                </c:pt>
                <c:pt idx="23">
                  <c:v>0.10795053003533558</c:v>
                </c:pt>
                <c:pt idx="24">
                  <c:v>0.12491362355817785</c:v>
                </c:pt>
                <c:pt idx="25">
                  <c:v>0.24018333884609924</c:v>
                </c:pt>
                <c:pt idx="26">
                  <c:v>0.10809266173893167</c:v>
                </c:pt>
                <c:pt idx="27">
                  <c:v>-0.19045490492727707</c:v>
                </c:pt>
                <c:pt idx="28">
                  <c:v>0.10036527353041112</c:v>
                </c:pt>
                <c:pt idx="29">
                  <c:v>0.24626548809202151</c:v>
                </c:pt>
                <c:pt idx="30">
                  <c:v>0.20401399944250009</c:v>
                </c:pt>
                <c:pt idx="31">
                  <c:v>4.7589648608324327E-2</c:v>
                </c:pt>
                <c:pt idx="32">
                  <c:v>0.15057459974462231</c:v>
                </c:pt>
                <c:pt idx="33">
                  <c:v>0.12485060611234408</c:v>
                </c:pt>
                <c:pt idx="34">
                  <c:v>2.8270026182977445E-3</c:v>
                </c:pt>
                <c:pt idx="35">
                  <c:v>1.4889792829439041E-2</c:v>
                </c:pt>
                <c:pt idx="36">
                  <c:v>-2.3433130755750972E-2</c:v>
                </c:pt>
                <c:pt idx="37">
                  <c:v>0.40572683019948452</c:v>
                </c:pt>
                <c:pt idx="38">
                  <c:v>-2.603240130908888E-2</c:v>
                </c:pt>
                <c:pt idx="39">
                  <c:v>-5.8322411533420764E-2</c:v>
                </c:pt>
                <c:pt idx="40">
                  <c:v>-5.9787678230355787E-2</c:v>
                </c:pt>
                <c:pt idx="41">
                  <c:v>0.12500590541881229</c:v>
                </c:pt>
                <c:pt idx="42">
                  <c:v>-0.23541762902616212</c:v>
                </c:pt>
                <c:pt idx="43">
                  <c:v>5.9738928251038964E-2</c:v>
                </c:pt>
                <c:pt idx="44">
                  <c:v>5.7356091493331367E-2</c:v>
                </c:pt>
                <c:pt idx="45">
                  <c:v>-0.1182275668256977</c:v>
                </c:pt>
                <c:pt idx="46">
                  <c:v>2.4069819152090145E-2</c:v>
                </c:pt>
                <c:pt idx="47">
                  <c:v>-0.23042683699133293</c:v>
                </c:pt>
                <c:pt idx="48">
                  <c:v>-0.26264929935107678</c:v>
                </c:pt>
                <c:pt idx="49">
                  <c:v>0.35939542744172692</c:v>
                </c:pt>
                <c:pt idx="50">
                  <c:v>8.5710264589979407E-2</c:v>
                </c:pt>
                <c:pt idx="51">
                  <c:v>0.12736032493626567</c:v>
                </c:pt>
                <c:pt idx="52">
                  <c:v>-0.16151472758283664</c:v>
                </c:pt>
                <c:pt idx="53">
                  <c:v>-8.6165520078622763E-3</c:v>
                </c:pt>
                <c:pt idx="54">
                  <c:v>0.21668664699372928</c:v>
                </c:pt>
                <c:pt idx="55">
                  <c:v>-2.508763619137851E-2</c:v>
                </c:pt>
                <c:pt idx="56">
                  <c:v>0.1123398962119297</c:v>
                </c:pt>
                <c:pt idx="57">
                  <c:v>1.6546976289074151E-2</c:v>
                </c:pt>
                <c:pt idx="58">
                  <c:v>8.7507305166901722E-2</c:v>
                </c:pt>
                <c:pt idx="59">
                  <c:v>-8.5744993598760838E-2</c:v>
                </c:pt>
                <c:pt idx="60">
                  <c:v>-1.0286287255376607E-2</c:v>
                </c:pt>
                <c:pt idx="61">
                  <c:v>8.3564778424077335E-2</c:v>
                </c:pt>
                <c:pt idx="62">
                  <c:v>6.9914400399787219E-2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0-7448-9308-2DCE2DBC8C2E}"/>
            </c:ext>
          </c:extLst>
        </c:ser>
        <c:ser>
          <c:idx val="2"/>
          <c:order val="2"/>
          <c:tx>
            <c:v>Real Money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tenth_opp!$J$2:$J$65</c:f>
              <c:numCache>
                <c:formatCode>General</c:formatCode>
                <c:ptCount val="64"/>
                <c:pt idx="28" formatCode="0.0%">
                  <c:v>0.10153333333333334</c:v>
                </c:pt>
                <c:pt idx="29" formatCode="0.0%">
                  <c:v>-3.6812499999999998E-2</c:v>
                </c:pt>
                <c:pt idx="30" formatCode="0.0%">
                  <c:v>0.2373875</c:v>
                </c:pt>
                <c:pt idx="31" formatCode="0.0%">
                  <c:v>-5.4877777777777775E-2</c:v>
                </c:pt>
                <c:pt idx="32" formatCode="0.0%">
                  <c:v>0.13854374999999999</c:v>
                </c:pt>
                <c:pt idx="33" formatCode="0.0%">
                  <c:v>0.10270270270270271</c:v>
                </c:pt>
                <c:pt idx="34" formatCode="0.0%">
                  <c:v>1.7604999999999999E-2</c:v>
                </c:pt>
                <c:pt idx="35" formatCode="0.0%">
                  <c:v>-6.08E-2</c:v>
                </c:pt>
                <c:pt idx="36" formatCode="0.0%">
                  <c:v>-1.3195555555555556E-2</c:v>
                </c:pt>
                <c:pt idx="37" formatCode="0.0%">
                  <c:v>0.35911363636363636</c:v>
                </c:pt>
                <c:pt idx="38" formatCode="0.0%">
                  <c:v>-4.8310000000000006E-2</c:v>
                </c:pt>
                <c:pt idx="39" formatCode="0.0%">
                  <c:v>-1.7568965517241381E-2</c:v>
                </c:pt>
                <c:pt idx="40" formatCode="0.0%">
                  <c:v>-9.1186440677966107E-2</c:v>
                </c:pt>
                <c:pt idx="41" formatCode="0.0%">
                  <c:v>4.4622837370242217E-2</c:v>
                </c:pt>
                <c:pt idx="42" formatCode="0.0%">
                  <c:v>-0.26836071428571429</c:v>
                </c:pt>
                <c:pt idx="43" formatCode="0.0%">
                  <c:v>6.2309523809523808E-2</c:v>
                </c:pt>
                <c:pt idx="44" formatCode="0.0%">
                  <c:v>2.933636363636364E-2</c:v>
                </c:pt>
                <c:pt idx="45" formatCode="0.0%">
                  <c:v>-5.9413333333333339E-2</c:v>
                </c:pt>
                <c:pt idx="46" formatCode="0.0%">
                  <c:v>7.3057142857142848E-2</c:v>
                </c:pt>
                <c:pt idx="47" formatCode="0.0%">
                  <c:v>-0.17390434782608696</c:v>
                </c:pt>
                <c:pt idx="48" formatCode="0.0%">
                  <c:v>-0.26452631578947372</c:v>
                </c:pt>
                <c:pt idx="50" formatCode="0.0%">
                  <c:v>7.0385714285714288E-2</c:v>
                </c:pt>
                <c:pt idx="51" formatCode="0.0%">
                  <c:v>6.0573333333333333E-2</c:v>
                </c:pt>
                <c:pt idx="52" formatCode="0.0%">
                  <c:v>-7.6039999999999996E-2</c:v>
                </c:pt>
                <c:pt idx="53" formatCode="0.0%">
                  <c:v>1.43E-2</c:v>
                </c:pt>
                <c:pt idx="54" formatCode="0.0%">
                  <c:v>0.12026666666666667</c:v>
                </c:pt>
                <c:pt idx="55" formatCode="0.0%">
                  <c:v>-9.1435294117647059E-2</c:v>
                </c:pt>
                <c:pt idx="56" formatCode="0.0%">
                  <c:v>0.11370322580645162</c:v>
                </c:pt>
                <c:pt idx="57" formatCode="0.0%">
                  <c:v>6.3652941176470579E-2</c:v>
                </c:pt>
                <c:pt idx="58" formatCode="0.0%">
                  <c:v>-1.5162162162162162E-2</c:v>
                </c:pt>
                <c:pt idx="59" formatCode="0.0%">
                  <c:v>-7.1410810810810812E-2</c:v>
                </c:pt>
                <c:pt idx="60" formatCode="0.0%">
                  <c:v>-1.106470588235294E-2</c:v>
                </c:pt>
                <c:pt idx="61" formatCode="0.0%">
                  <c:v>6.883636363636364E-2</c:v>
                </c:pt>
                <c:pt idx="62" formatCode="0.0%">
                  <c:v>-3.1428571428571431E-2</c:v>
                </c:pt>
                <c:pt idx="63" formatCode="0.0%">
                  <c:v>5.8333333333333334E-2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8143-BB62-0801426F2AB5}"/>
            </c:ext>
          </c:extLst>
        </c:ser>
        <c:ser>
          <c:idx val="3"/>
          <c:order val="3"/>
          <c:tx>
            <c:v>no_opp, x_10=3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'w3'!$G$2:$G$65</c:f>
              <c:numCache>
                <c:formatCode>0.0%</c:formatCode>
                <c:ptCount val="64"/>
                <c:pt idx="0">
                  <c:v>-0.12200000000000003</c:v>
                </c:pt>
                <c:pt idx="1">
                  <c:v>1.2870159453303071E-2</c:v>
                </c:pt>
                <c:pt idx="2">
                  <c:v>-7.1516923422917045E-2</c:v>
                </c:pt>
                <c:pt idx="3">
                  <c:v>3.2699527673489201E-2</c:v>
                </c:pt>
                <c:pt idx="4">
                  <c:v>-0.15972792306790184</c:v>
                </c:pt>
                <c:pt idx="5">
                  <c:v>-5.8757850662944977E-2</c:v>
                </c:pt>
                <c:pt idx="6">
                  <c:v>0.15094899169632275</c:v>
                </c:pt>
                <c:pt idx="7">
                  <c:v>7.3305849007987603E-2</c:v>
                </c:pt>
                <c:pt idx="8">
                  <c:v>-7.9822350258072328E-2</c:v>
                </c:pt>
                <c:pt idx="9">
                  <c:v>-3.8351160970519146E-2</c:v>
                </c:pt>
                <c:pt idx="10">
                  <c:v>0.15680954964731419</c:v>
                </c:pt>
                <c:pt idx="11">
                  <c:v>0.18820356472795494</c:v>
                </c:pt>
                <c:pt idx="12">
                  <c:v>7.8061778347971941E-2</c:v>
                </c:pt>
                <c:pt idx="13">
                  <c:v>4.9340900768949113E-2</c:v>
                </c:pt>
                <c:pt idx="14">
                  <c:v>0.31161127104597403</c:v>
                </c:pt>
                <c:pt idx="15">
                  <c:v>0.16960425673428667</c:v>
                </c:pt>
                <c:pt idx="16">
                  <c:v>1.1998862667045855E-2</c:v>
                </c:pt>
                <c:pt idx="17">
                  <c:v>3.1242975949651617E-2</c:v>
                </c:pt>
                <c:pt idx="18">
                  <c:v>-0.11197689625108985</c:v>
                </c:pt>
                <c:pt idx="19">
                  <c:v>-5.8661103270540603E-2</c:v>
                </c:pt>
                <c:pt idx="20">
                  <c:v>0.219346848314973</c:v>
                </c:pt>
                <c:pt idx="21">
                  <c:v>4.0521757724794098E-2</c:v>
                </c:pt>
                <c:pt idx="22">
                  <c:v>1.1046033703247049E-2</c:v>
                </c:pt>
                <c:pt idx="23">
                  <c:v>6.8702677981604815E-2</c:v>
                </c:pt>
                <c:pt idx="24">
                  <c:v>0.20983310351386047</c:v>
                </c:pt>
                <c:pt idx="25">
                  <c:v>0.17744851438453066</c:v>
                </c:pt>
                <c:pt idx="26">
                  <c:v>0.11502386595013198</c:v>
                </c:pt>
                <c:pt idx="27">
                  <c:v>-0.18051189941625509</c:v>
                </c:pt>
                <c:pt idx="28">
                  <c:v>0.22410958904109599</c:v>
                </c:pt>
                <c:pt idx="29">
                  <c:v>2.5365562518651148E-2</c:v>
                </c:pt>
                <c:pt idx="30">
                  <c:v>-6.7374854481955862E-2</c:v>
                </c:pt>
                <c:pt idx="31">
                  <c:v>-4.9243251677328674E-2</c:v>
                </c:pt>
                <c:pt idx="32">
                  <c:v>4.8642793842518108E-2</c:v>
                </c:pt>
                <c:pt idx="33">
                  <c:v>0.1723997621208801</c:v>
                </c:pt>
                <c:pt idx="34">
                  <c:v>0.13722401687268077</c:v>
                </c:pt>
                <c:pt idx="35">
                  <c:v>0.11822428809540567</c:v>
                </c:pt>
                <c:pt idx="36">
                  <c:v>-2.0825898011882431E-2</c:v>
                </c:pt>
                <c:pt idx="38">
                  <c:v>0.13003580540725954</c:v>
                </c:pt>
                <c:pt idx="39">
                  <c:v>-0.20768033999924096</c:v>
                </c:pt>
                <c:pt idx="40">
                  <c:v>-6.8175287356321904E-2</c:v>
                </c:pt>
                <c:pt idx="41">
                  <c:v>2.829388636188418E-2</c:v>
                </c:pt>
                <c:pt idx="42">
                  <c:v>0.12213225371120109</c:v>
                </c:pt>
                <c:pt idx="43">
                  <c:v>-0.3350036747511192</c:v>
                </c:pt>
                <c:pt idx="44">
                  <c:v>6.2058340868749895E-2</c:v>
                </c:pt>
                <c:pt idx="45">
                  <c:v>-7.7681911427537095E-2</c:v>
                </c:pt>
                <c:pt idx="46">
                  <c:v>-9.0373859287606689E-2</c:v>
                </c:pt>
                <c:pt idx="47">
                  <c:v>-7.8281193815174524E-2</c:v>
                </c:pt>
                <c:pt idx="48">
                  <c:v>2.8478913900051427E-3</c:v>
                </c:pt>
                <c:pt idx="49">
                  <c:v>0.36839648331128916</c:v>
                </c:pt>
                <c:pt idx="50">
                  <c:v>-5.5321810325221682E-2</c:v>
                </c:pt>
                <c:pt idx="51">
                  <c:v>7.0147457117062897E-2</c:v>
                </c:pt>
                <c:pt idx="52">
                  <c:v>-4.3080903236691857E-2</c:v>
                </c:pt>
                <c:pt idx="53">
                  <c:v>0.12985982544300448</c:v>
                </c:pt>
                <c:pt idx="54">
                  <c:v>0.14437682064086554</c:v>
                </c:pt>
                <c:pt idx="55">
                  <c:v>3.3341666856064947E-2</c:v>
                </c:pt>
                <c:pt idx="56">
                  <c:v>8.3402982448422897E-2</c:v>
                </c:pt>
                <c:pt idx="57">
                  <c:v>-6.6243046814730588E-2</c:v>
                </c:pt>
                <c:pt idx="58">
                  <c:v>7.5660397869334022E-3</c:v>
                </c:pt>
                <c:pt idx="59">
                  <c:v>-0.14802667069460332</c:v>
                </c:pt>
                <c:pt idx="60">
                  <c:v>3.6977939872856733E-2</c:v>
                </c:pt>
                <c:pt idx="61">
                  <c:v>6.1231468138631735E-2</c:v>
                </c:pt>
                <c:pt idx="62">
                  <c:v>5.3440736478711226E-2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4-074E-92E5-0E6FF565E632}"/>
            </c:ext>
          </c:extLst>
        </c:ser>
        <c:ser>
          <c:idx val="4"/>
          <c:order val="4"/>
          <c:tx>
            <c:v>1/10, sig adjust p2p1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stat_sig_w3_p2p1!$G$2:$G$65</c:f>
              <c:numCache>
                <c:formatCode>0.0%</c:formatCode>
                <c:ptCount val="64"/>
                <c:pt idx="0">
                  <c:v>-0.1225</c:v>
                </c:pt>
                <c:pt idx="1">
                  <c:v>7.5213675213674823E-3</c:v>
                </c:pt>
                <c:pt idx="2">
                  <c:v>-7.2616219884628463E-2</c:v>
                </c:pt>
                <c:pt idx="3">
                  <c:v>2.9881692889376789E-2</c:v>
                </c:pt>
                <c:pt idx="4">
                  <c:v>-0.15466603505447657</c:v>
                </c:pt>
                <c:pt idx="5">
                  <c:v>-5.0994676379938368E-2</c:v>
                </c:pt>
                <c:pt idx="6">
                  <c:v>0.15529967522881621</c:v>
                </c:pt>
                <c:pt idx="7">
                  <c:v>6.9895221058011742E-2</c:v>
                </c:pt>
                <c:pt idx="8">
                  <c:v>-0.10259166368087905</c:v>
                </c:pt>
                <c:pt idx="9">
                  <c:v>-3.9260047910566982E-2</c:v>
                </c:pt>
                <c:pt idx="10">
                  <c:v>0.15860922565452285</c:v>
                </c:pt>
                <c:pt idx="11">
                  <c:v>0.18723098995695836</c:v>
                </c:pt>
                <c:pt idx="12">
                  <c:v>0.13454179254783485</c:v>
                </c:pt>
                <c:pt idx="13">
                  <c:v>2.6717557251908441E-2</c:v>
                </c:pt>
                <c:pt idx="14">
                  <c:v>-8.7490274055502762E-2</c:v>
                </c:pt>
                <c:pt idx="15">
                  <c:v>0.20360018948365713</c:v>
                </c:pt>
                <c:pt idx="16">
                  <c:v>1.6845088161209072E-2</c:v>
                </c:pt>
                <c:pt idx="17">
                  <c:v>2.7945502399752169E-2</c:v>
                </c:pt>
                <c:pt idx="18">
                  <c:v>-9.3907673770615249E-2</c:v>
                </c:pt>
                <c:pt idx="19">
                  <c:v>-8.8763297872340371E-2</c:v>
                </c:pt>
                <c:pt idx="20">
                  <c:v>0.10534476468442172</c:v>
                </c:pt>
                <c:pt idx="21">
                  <c:v>3.2923508540308684E-2</c:v>
                </c:pt>
                <c:pt idx="22">
                  <c:v>1.8453427065026267E-2</c:v>
                </c:pt>
                <c:pt idx="23">
                  <c:v>6.5809083065338461E-2</c:v>
                </c:pt>
                <c:pt idx="24">
                  <c:v>0.23093906387989399</c:v>
                </c:pt>
                <c:pt idx="25">
                  <c:v>0.16985531507832116</c:v>
                </c:pt>
                <c:pt idx="26">
                  <c:v>0.12132672356518634</c:v>
                </c:pt>
                <c:pt idx="27">
                  <c:v>-0.19151360466706172</c:v>
                </c:pt>
                <c:pt idx="28">
                  <c:v>0.15147415299622305</c:v>
                </c:pt>
                <c:pt idx="29">
                  <c:v>-1.4197591305198866E-3</c:v>
                </c:pt>
                <c:pt idx="30">
                  <c:v>-1.7747707996273985E-2</c:v>
                </c:pt>
                <c:pt idx="31">
                  <c:v>0.1091090591464937</c:v>
                </c:pt>
                <c:pt idx="32">
                  <c:v>-3.2761801899104458E-2</c:v>
                </c:pt>
                <c:pt idx="33">
                  <c:v>0.2048108686549108</c:v>
                </c:pt>
                <c:pt idx="34">
                  <c:v>0.10422861556285001</c:v>
                </c:pt>
                <c:pt idx="35">
                  <c:v>0.10121004406518849</c:v>
                </c:pt>
                <c:pt idx="36">
                  <c:v>-2.1246189024390238E-2</c:v>
                </c:pt>
                <c:pt idx="38">
                  <c:v>7.719264090333891E-2</c:v>
                </c:pt>
                <c:pt idx="39">
                  <c:v>-0.25474426170251224</c:v>
                </c:pt>
                <c:pt idx="40">
                  <c:v>-7.8250677013863568E-2</c:v>
                </c:pt>
                <c:pt idx="41">
                  <c:v>1.0041657531243113E-2</c:v>
                </c:pt>
                <c:pt idx="42">
                  <c:v>0.12281844230268295</c:v>
                </c:pt>
                <c:pt idx="43">
                  <c:v>-0.27672737114797197</c:v>
                </c:pt>
                <c:pt idx="44">
                  <c:v>5.9553084571795076E-2</c:v>
                </c:pt>
                <c:pt idx="45">
                  <c:v>-0.1135188961069752</c:v>
                </c:pt>
                <c:pt idx="46">
                  <c:v>1.0805028082375021E-2</c:v>
                </c:pt>
                <c:pt idx="47">
                  <c:v>-0.22786685717309627</c:v>
                </c:pt>
                <c:pt idx="48">
                  <c:v>-0.25878966486190114</c:v>
                </c:pt>
                <c:pt idx="49">
                  <c:v>0.35247341655108649</c:v>
                </c:pt>
                <c:pt idx="50">
                  <c:v>7.8553360224242696E-2</c:v>
                </c:pt>
                <c:pt idx="51">
                  <c:v>0.12341531440162272</c:v>
                </c:pt>
                <c:pt idx="52">
                  <c:v>-0.1292670541104779</c:v>
                </c:pt>
                <c:pt idx="53">
                  <c:v>-3.5964230171072989E-2</c:v>
                </c:pt>
                <c:pt idx="54">
                  <c:v>0.18350473885864071</c:v>
                </c:pt>
                <c:pt idx="55">
                  <c:v>-2.9192934628272771E-2</c:v>
                </c:pt>
                <c:pt idx="56">
                  <c:v>9.6121219212543185E-2</c:v>
                </c:pt>
                <c:pt idx="57">
                  <c:v>4.1150725875320128E-2</c:v>
                </c:pt>
                <c:pt idx="58">
                  <c:v>7.6741682472958428E-2</c:v>
                </c:pt>
                <c:pt idx="59">
                  <c:v>-7.3700247571891017E-2</c:v>
                </c:pt>
                <c:pt idx="60">
                  <c:v>-1.8349095394736809E-2</c:v>
                </c:pt>
                <c:pt idx="61">
                  <c:v>3.7331797476307632E-2</c:v>
                </c:pt>
                <c:pt idx="62">
                  <c:v>6.1528366646476873E-2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4-074E-92E5-0E6FF565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417903"/>
        <c:axId val="1856198048"/>
      </c:lineChart>
      <c:catAx>
        <c:axId val="135741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198048"/>
        <c:crosses val="autoZero"/>
        <c:auto val="1"/>
        <c:lblAlgn val="ctr"/>
        <c:lblOffset val="100"/>
        <c:noMultiLvlLbl val="0"/>
      </c:catAx>
      <c:valAx>
        <c:axId val="1856198048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1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tenth_opp!$T$50:$T$60</c:f>
              <c:strCache>
                <c:ptCount val="11"/>
                <c:pt idx="0">
                  <c:v>-15%</c:v>
                </c:pt>
                <c:pt idx="1">
                  <c:v>-10%</c:v>
                </c:pt>
                <c:pt idx="2">
                  <c:v>-5%</c:v>
                </c:pt>
                <c:pt idx="3">
                  <c:v>0%</c:v>
                </c:pt>
                <c:pt idx="4">
                  <c:v>5%</c:v>
                </c:pt>
                <c:pt idx="5">
                  <c:v>10%</c:v>
                </c:pt>
                <c:pt idx="6">
                  <c:v>15%</c:v>
                </c:pt>
                <c:pt idx="7">
                  <c:v>20%</c:v>
                </c:pt>
                <c:pt idx="8">
                  <c:v>25%</c:v>
                </c:pt>
                <c:pt idx="9">
                  <c:v>30%</c:v>
                </c:pt>
                <c:pt idx="10">
                  <c:v>More</c:v>
                </c:pt>
              </c:strCache>
            </c:strRef>
          </c:cat>
          <c:val>
            <c:numRef>
              <c:f>tenth_opp!$U$50:$U$60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9</c:v>
                </c:pt>
                <c:pt idx="5">
                  <c:v>1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B-0247-9047-D48DE0F18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592639"/>
        <c:axId val="1305086783"/>
      </c:barChart>
      <c:catAx>
        <c:axId val="1886592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5086783"/>
        <c:crosses val="autoZero"/>
        <c:auto val="1"/>
        <c:lblAlgn val="ctr"/>
        <c:lblOffset val="100"/>
        <c:noMultiLvlLbl val="0"/>
      </c:catAx>
      <c:valAx>
        <c:axId val="1305086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65926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day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no_opp, x_10=4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no_opp!$H$2:$H$65</c:f>
              <c:numCache>
                <c:formatCode>0.0%</c:formatCode>
                <c:ptCount val="64"/>
                <c:pt idx="6">
                  <c:v>-0.23590000000000003</c:v>
                </c:pt>
                <c:pt idx="7">
                  <c:v>-8.986277113767159E-2</c:v>
                </c:pt>
                <c:pt idx="8">
                  <c:v>-0.13961760782570018</c:v>
                </c:pt>
                <c:pt idx="9">
                  <c:v>-7.9723559175614064E-2</c:v>
                </c:pt>
                <c:pt idx="10">
                  <c:v>3.9208675962340678E-2</c:v>
                </c:pt>
                <c:pt idx="11">
                  <c:v>0.49697319112136074</c:v>
                </c:pt>
                <c:pt idx="12">
                  <c:v>0.7139009426904086</c:v>
                </c:pt>
                <c:pt idx="13">
                  <c:v>0.57060594163067679</c:v>
                </c:pt>
                <c:pt idx="14">
                  <c:v>0.9255836575875489</c:v>
                </c:pt>
                <c:pt idx="15">
                  <c:v>1.4204134366925063</c:v>
                </c:pt>
                <c:pt idx="16">
                  <c:v>1.5128067587501679</c:v>
                </c:pt>
                <c:pt idx="17">
                  <c:v>1.2477064220183485</c:v>
                </c:pt>
                <c:pt idx="18">
                  <c:v>0.71384556133256305</c:v>
                </c:pt>
                <c:pt idx="19">
                  <c:v>0.46141086083464272</c:v>
                </c:pt>
                <c:pt idx="20">
                  <c:v>0.65777851845679514</c:v>
                </c:pt>
                <c:pt idx="21">
                  <c:v>0.29717100277847924</c:v>
                </c:pt>
                <c:pt idx="22">
                  <c:v>0.11449770470801744</c:v>
                </c:pt>
                <c:pt idx="23">
                  <c:v>0.20850677767104278</c:v>
                </c:pt>
                <c:pt idx="24">
                  <c:v>0.38765306122448989</c:v>
                </c:pt>
                <c:pt idx="25">
                  <c:v>0.78050561797752815</c:v>
                </c:pt>
                <c:pt idx="26">
                  <c:v>1.127546448413884</c:v>
                </c:pt>
                <c:pt idx="27">
                  <c:v>0.43252073385272688</c:v>
                </c:pt>
                <c:pt idx="28">
                  <c:v>0.63650082757277793</c:v>
                </c:pt>
                <c:pt idx="29">
                  <c:v>0.66363331577182838</c:v>
                </c:pt>
                <c:pt idx="30">
                  <c:v>0.42587767719143299</c:v>
                </c:pt>
                <c:pt idx="31">
                  <c:v>0.17879991175821749</c:v>
                </c:pt>
                <c:pt idx="32">
                  <c:v>-1.3315243113621391E-2</c:v>
                </c:pt>
                <c:pt idx="33">
                  <c:v>3.1084154662623181E-2</c:v>
                </c:pt>
                <c:pt idx="34">
                  <c:v>0.47838596491228064</c:v>
                </c:pt>
                <c:pt idx="35">
                  <c:v>0.38810720766278956</c:v>
                </c:pt>
                <c:pt idx="36">
                  <c:v>0.31164531452425503</c:v>
                </c:pt>
                <c:pt idx="37">
                  <c:v>0.55455418253894517</c:v>
                </c:pt>
                <c:pt idx="38">
                  <c:v>0.26040984373537945</c:v>
                </c:pt>
                <c:pt idx="39">
                  <c:v>0.20837197403344962</c:v>
                </c:pt>
                <c:pt idx="40">
                  <c:v>8.3523965141612241E-2</c:v>
                </c:pt>
                <c:pt idx="41">
                  <c:v>5.8242749323586702E-2</c:v>
                </c:pt>
                <c:pt idx="42">
                  <c:v>-0.39925852905880338</c:v>
                </c:pt>
                <c:pt idx="43">
                  <c:v>-0.34809043020193159</c:v>
                </c:pt>
                <c:pt idx="44">
                  <c:v>-0.36453830062755249</c:v>
                </c:pt>
                <c:pt idx="45">
                  <c:v>-0.29336797822321209</c:v>
                </c:pt>
                <c:pt idx="46">
                  <c:v>-0.31158864159631622</c:v>
                </c:pt>
                <c:pt idx="47">
                  <c:v>-0.40288601739655078</c:v>
                </c:pt>
                <c:pt idx="48">
                  <c:v>-0.46103633916554509</c:v>
                </c:pt>
                <c:pt idx="49">
                  <c:v>0.16580458745050483</c:v>
                </c:pt>
                <c:pt idx="50">
                  <c:v>7.3364533180701061E-2</c:v>
                </c:pt>
                <c:pt idx="51">
                  <c:v>2.3701288522431405E-2</c:v>
                </c:pt>
                <c:pt idx="52">
                  <c:v>9.2978462616004245E-2</c:v>
                </c:pt>
                <c:pt idx="53">
                  <c:v>0.3736977665013646</c:v>
                </c:pt>
                <c:pt idx="54">
                  <c:v>0.93512125294712012</c:v>
                </c:pt>
                <c:pt idx="55">
                  <c:v>0.98464227743788235</c:v>
                </c:pt>
                <c:pt idx="56">
                  <c:v>0.58881307181542797</c:v>
                </c:pt>
                <c:pt idx="57">
                  <c:v>0.48720200752823084</c:v>
                </c:pt>
                <c:pt idx="58">
                  <c:v>0.49107279576149215</c:v>
                </c:pt>
                <c:pt idx="59">
                  <c:v>0.3296379365587952</c:v>
                </c:pt>
                <c:pt idx="60">
                  <c:v>0.17196507527844643</c:v>
                </c:pt>
                <c:pt idx="61">
                  <c:v>-6.3964493179296342E-3</c:v>
                </c:pt>
                <c:pt idx="62">
                  <c:v>6.8784733144594164E-3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E-C745-98C0-3DB3A7B7A628}"/>
            </c:ext>
          </c:extLst>
        </c:ser>
        <c:ser>
          <c:idx val="1"/>
          <c:order val="1"/>
          <c:tx>
            <c:v>1/10 opp, x_10=4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tenth_opp!$H$2:$H$65</c:f>
              <c:numCache>
                <c:formatCode>0.0%</c:formatCode>
                <c:ptCount val="64"/>
                <c:pt idx="6">
                  <c:v>-0.21530000000000002</c:v>
                </c:pt>
                <c:pt idx="7">
                  <c:v>-6.0112919295914898E-2</c:v>
                </c:pt>
                <c:pt idx="8">
                  <c:v>-0.16106272737294675</c:v>
                </c:pt>
                <c:pt idx="9">
                  <c:v>-0.11576533075808791</c:v>
                </c:pt>
                <c:pt idx="10">
                  <c:v>2.207249070631944E-3</c:v>
                </c:pt>
                <c:pt idx="11">
                  <c:v>0.42746805223985418</c:v>
                </c:pt>
                <c:pt idx="12">
                  <c:v>0.67734386426795379</c:v>
                </c:pt>
                <c:pt idx="13">
                  <c:v>0.51943417866700659</c:v>
                </c:pt>
                <c:pt idx="14">
                  <c:v>0.29481743227326268</c:v>
                </c:pt>
                <c:pt idx="15">
                  <c:v>0.7528252299605781</c:v>
                </c:pt>
                <c:pt idx="16">
                  <c:v>0.86566552901023885</c:v>
                </c:pt>
                <c:pt idx="17">
                  <c:v>0.64112669525907062</c:v>
                </c:pt>
                <c:pt idx="18">
                  <c:v>0.27811116576487932</c:v>
                </c:pt>
                <c:pt idx="19">
                  <c:v>7.9438437391001038E-2</c:v>
                </c:pt>
                <c:pt idx="20">
                  <c:v>0.22745953199698055</c:v>
                </c:pt>
                <c:pt idx="21">
                  <c:v>0.3484035295187845</c:v>
                </c:pt>
                <c:pt idx="22">
                  <c:v>0.27295899242821825</c:v>
                </c:pt>
                <c:pt idx="23">
                  <c:v>0.3766281282013757</c:v>
                </c:pt>
                <c:pt idx="24">
                  <c:v>0.49477327306116664</c:v>
                </c:pt>
                <c:pt idx="25">
                  <c:v>1.0201662561576355</c:v>
                </c:pt>
                <c:pt idx="26">
                  <c:v>1.3493820179335969</c:v>
                </c:pt>
                <c:pt idx="27">
                  <c:v>0.60874615647420571</c:v>
                </c:pt>
                <c:pt idx="28">
                  <c:v>0.74775686433245636</c:v>
                </c:pt>
                <c:pt idx="29">
                  <c:v>0.90147232037691394</c:v>
                </c:pt>
                <c:pt idx="30">
                  <c:v>1.0663371073194068</c:v>
                </c:pt>
                <c:pt idx="31">
                  <c:v>0.92430184756414502</c:v>
                </c:pt>
                <c:pt idx="32">
                  <c:v>0.78526251619294385</c:v>
                </c:pt>
                <c:pt idx="33">
                  <c:v>0.81226145858405241</c:v>
                </c:pt>
                <c:pt idx="34">
                  <c:v>1.2449456337071014</c:v>
                </c:pt>
                <c:pt idx="35">
                  <c:v>1.0705600802871809</c:v>
                </c:pt>
                <c:pt idx="36">
                  <c:v>0.62247963576671728</c:v>
                </c:pt>
                <c:pt idx="37">
                  <c:v>0.89429953182075417</c:v>
                </c:pt>
                <c:pt idx="38">
                  <c:v>0.76117277281210105</c:v>
                </c:pt>
                <c:pt idx="39">
                  <c:v>0.44141625405497692</c:v>
                </c:pt>
                <c:pt idx="40">
                  <c:v>0.20481539103707369</c:v>
                </c:pt>
                <c:pt idx="41">
                  <c:v>0.35160344338283994</c:v>
                </c:pt>
                <c:pt idx="42">
                  <c:v>1.825062451064479E-2</c:v>
                </c:pt>
                <c:pt idx="43">
                  <c:v>0.10497279755655246</c:v>
                </c:pt>
                <c:pt idx="44">
                  <c:v>-0.16886432461060039</c:v>
                </c:pt>
                <c:pt idx="45">
                  <c:v>-0.24753910933883616</c:v>
                </c:pt>
                <c:pt idx="46">
                  <c:v>-0.18170242378477625</c:v>
                </c:pt>
                <c:pt idx="47">
                  <c:v>-0.33021527220043778</c:v>
                </c:pt>
                <c:pt idx="48">
                  <c:v>-0.56101009252649114</c:v>
                </c:pt>
                <c:pt idx="49">
                  <c:v>-0.21949433368118496</c:v>
                </c:pt>
                <c:pt idx="50">
                  <c:v>-0.20036624974086106</c:v>
                </c:pt>
                <c:pt idx="51">
                  <c:v>-0.14742500490164046</c:v>
                </c:pt>
                <c:pt idx="52">
                  <c:v>-0.18927883190038539</c:v>
                </c:pt>
                <c:pt idx="53">
                  <c:v>-0.21515551775924147</c:v>
                </c:pt>
                <c:pt idx="54">
                  <c:v>0.24083043355591086</c:v>
                </c:pt>
                <c:pt idx="55">
                  <c:v>0.64060457255827297</c:v>
                </c:pt>
                <c:pt idx="56">
                  <c:v>0.3424422968662037</c:v>
                </c:pt>
                <c:pt idx="57">
                  <c:v>0.25692433997320996</c:v>
                </c:pt>
                <c:pt idx="58">
                  <c:v>0.21249113662060926</c:v>
                </c:pt>
                <c:pt idx="59">
                  <c:v>0.32205791602861539</c:v>
                </c:pt>
                <c:pt idx="60">
                  <c:v>0.31983124308373301</c:v>
                </c:pt>
                <c:pt idx="61">
                  <c:v>0.17542396968261495</c:v>
                </c:pt>
                <c:pt idx="62">
                  <c:v>0.28996520961691719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E-C745-98C0-3DB3A7B7A628}"/>
            </c:ext>
          </c:extLst>
        </c:ser>
        <c:ser>
          <c:idx val="2"/>
          <c:order val="2"/>
          <c:tx>
            <c:v>Real Money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tenth_opp!$L$2:$L$65</c:f>
              <c:numCache>
                <c:formatCode>General</c:formatCode>
                <c:ptCount val="64"/>
                <c:pt idx="33" formatCode="0.0%">
                  <c:v>0.50638062296197017</c:v>
                </c:pt>
                <c:pt idx="34" formatCode="0.0%">
                  <c:v>0.55158286519705291</c:v>
                </c:pt>
                <c:pt idx="35" formatCode="0.0%">
                  <c:v>0.37235004107816921</c:v>
                </c:pt>
                <c:pt idx="36" formatCode="0.0%">
                  <c:v>0.37813689045738397</c:v>
                </c:pt>
                <c:pt idx="37" formatCode="0.0%">
                  <c:v>0.70559588806355222</c:v>
                </c:pt>
                <c:pt idx="38" formatCode="0.0%">
                  <c:v>0.57795430767315448</c:v>
                </c:pt>
                <c:pt idx="39" formatCode="0.0%">
                  <c:v>0.54689408052345478</c:v>
                </c:pt>
                <c:pt idx="40" formatCode="0.0%">
                  <c:v>0.46795343596496292</c:v>
                </c:pt>
                <c:pt idx="41" formatCode="0.0%">
                  <c:v>0.52574390089210576</c:v>
                </c:pt>
                <c:pt idx="42" formatCode="0.0%">
                  <c:v>0.1486235309785118</c:v>
                </c:pt>
                <c:pt idx="43" formatCode="0.0%">
                  <c:v>0.19868747683852167</c:v>
                </c:pt>
                <c:pt idx="44" formatCode="0.0%">
                  <c:v>0.22388718546875605</c:v>
                </c:pt>
                <c:pt idx="45" formatCode="0.0%">
                  <c:v>0.19669767906837118</c:v>
                </c:pt>
                <c:pt idx="46" formatCode="0.0%">
                  <c:v>0.24327061544726619</c:v>
                </c:pt>
                <c:pt idx="47" formatCode="0.0%">
                  <c:v>0.14057180087565985</c:v>
                </c:pt>
                <c:pt idx="48" formatCode="0.0%">
                  <c:v>-9.4700768342242073E-2</c:v>
                </c:pt>
                <c:pt idx="49" formatCode="0.0%">
                  <c:v>-9.2001770934906246E-2</c:v>
                </c:pt>
                <c:pt idx="50" formatCode="0.0%">
                  <c:v>-5.1924573828785146E-2</c:v>
                </c:pt>
                <c:pt idx="51" formatCode="0.0%">
                  <c:v>-8.9963659323564309E-3</c:v>
                </c:pt>
                <c:pt idx="52" formatCode="0.0%">
                  <c:v>-7.4378019498621981E-2</c:v>
                </c:pt>
                <c:pt idx="53" formatCode="0.0%">
                  <c:v>-8.6130136468099749E-2</c:v>
                </c:pt>
                <c:pt idx="54" formatCode="0.0%">
                  <c:v>4.1821509562262785E-2</c:v>
                </c:pt>
                <c:pt idx="55" formatCode="0.0%">
                  <c:v>-6.2739766834330482E-2</c:v>
                </c:pt>
                <c:pt idx="56" formatCode="0.0%">
                  <c:v>4.9303551672458604E-2</c:v>
                </c:pt>
                <c:pt idx="57" formatCode="0.0%">
                  <c:v>0.12654774614060754</c:v>
                </c:pt>
                <c:pt idx="58" formatCode="0.0%">
                  <c:v>0.10648229427066691</c:v>
                </c:pt>
                <c:pt idx="59" formatCode="0.0%">
                  <c:v>1.9358149667757112E-2</c:v>
                </c:pt>
                <c:pt idx="60" formatCode="0.0%">
                  <c:v>9.3196521384773419E-3</c:v>
                </c:pt>
                <c:pt idx="61" formatCode="0.0%">
                  <c:v>7.4585864723487216E-2</c:v>
                </c:pt>
                <c:pt idx="62" formatCode="0.0%">
                  <c:v>3.9742067594117213E-2</c:v>
                </c:pt>
                <c:pt idx="63" formatCode="0.0%">
                  <c:v>9.5810255793887467E-2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7E-C745-98C0-3DB3A7B7A628}"/>
            </c:ext>
          </c:extLst>
        </c:ser>
        <c:ser>
          <c:idx val="3"/>
          <c:order val="3"/>
          <c:tx>
            <c:v>no_opp, x_10=3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'w3'!$H$2:$H$65</c:f>
              <c:numCache>
                <c:formatCode>0.0%</c:formatCode>
                <c:ptCount val="64"/>
                <c:pt idx="6">
                  <c:v>-0.22379999999999994</c:v>
                </c:pt>
                <c:pt idx="7">
                  <c:v>-5.1138952164009058E-2</c:v>
                </c:pt>
                <c:pt idx="8">
                  <c:v>-0.13797368716968414</c:v>
                </c:pt>
                <c:pt idx="9">
                  <c:v>-0.10718178515199218</c:v>
                </c:pt>
                <c:pt idx="10">
                  <c:v>1.172745396974917E-4</c:v>
                </c:pt>
                <c:pt idx="11">
                  <c:v>0.4142358688066991</c:v>
                </c:pt>
                <c:pt idx="12">
                  <c:v>0.61981020166073542</c:v>
                </c:pt>
                <c:pt idx="13">
                  <c:v>0.4768101004895644</c:v>
                </c:pt>
                <c:pt idx="14">
                  <c:v>0.80470531748889673</c:v>
                </c:pt>
                <c:pt idx="15">
                  <c:v>1.293895121314897</c:v>
                </c:pt>
                <c:pt idx="16">
                  <c:v>1.4139989148128054</c:v>
                </c:pt>
                <c:pt idx="17">
                  <c:v>1.151969981238274</c:v>
                </c:pt>
                <c:pt idx="18">
                  <c:v>0.60830948386460082</c:v>
                </c:pt>
                <c:pt idx="19">
                  <c:v>0.40433906993775176</c:v>
                </c:pt>
                <c:pt idx="20">
                  <c:v>0.63185902468812705</c:v>
                </c:pt>
                <c:pt idx="21">
                  <c:v>0.29457931493182571</c:v>
                </c:pt>
                <c:pt idx="22">
                  <c:v>0.1190787603070799</c:v>
                </c:pt>
                <c:pt idx="23">
                  <c:v>0.18178242301640815</c:v>
                </c:pt>
                <c:pt idx="24">
                  <c:v>0.38644289450741054</c:v>
                </c:pt>
                <c:pt idx="25">
                  <c:v>0.83831380008590528</c:v>
                </c:pt>
                <c:pt idx="26">
                  <c:v>1.1774982074180302</c:v>
                </c:pt>
                <c:pt idx="27">
                  <c:v>0.46343419223778465</c:v>
                </c:pt>
                <c:pt idx="28">
                  <c:v>0.72163995067817532</c:v>
                </c:pt>
                <c:pt idx="29">
                  <c:v>0.74602368006504416</c:v>
                </c:pt>
                <c:pt idx="30">
                  <c:v>0.52370310494032613</c:v>
                </c:pt>
                <c:pt idx="31">
                  <c:v>0.19741392862757434</c:v>
                </c:pt>
                <c:pt idx="32">
                  <c:v>6.642411295437109E-2</c:v>
                </c:pt>
                <c:pt idx="33">
                  <c:v>0.12129920670558293</c:v>
                </c:pt>
                <c:pt idx="34">
                  <c:v>0.55605479452054807</c:v>
                </c:pt>
                <c:pt idx="35">
                  <c:v>0.42145628170695298</c:v>
                </c:pt>
                <c:pt idx="36">
                  <c:v>0.35742142025611173</c:v>
                </c:pt>
                <c:pt idx="38">
                  <c:v>0.72993730921981137</c:v>
                </c:pt>
                <c:pt idx="39">
                  <c:v>0.307083163792294</c:v>
                </c:pt>
                <c:pt idx="40">
                  <c:v>3.8871239020743791E-2</c:v>
                </c:pt>
                <c:pt idx="41">
                  <c:v>-6.0638073103739795E-2</c:v>
                </c:pt>
                <c:pt idx="42">
                  <c:v>-5.735519492788612E-2</c:v>
                </c:pt>
                <c:pt idx="43">
                  <c:v>0</c:v>
                </c:pt>
                <c:pt idx="44">
                  <c:v>-0.32008318861087887</c:v>
                </c:pt>
                <c:pt idx="45">
                  <c:v>-0.41993321443478909</c:v>
                </c:pt>
                <c:pt idx="46">
                  <c:v>-0.33405172413793099</c:v>
                </c:pt>
                <c:pt idx="47">
                  <c:v>-0.34127412432863058</c:v>
                </c:pt>
                <c:pt idx="48">
                  <c:v>-0.35757484880291895</c:v>
                </c:pt>
                <c:pt idx="49">
                  <c:v>-0.21658760383955813</c:v>
                </c:pt>
                <c:pt idx="50">
                  <c:v>0.11289728390100151</c:v>
                </c:pt>
                <c:pt idx="51">
                  <c:v>7.2794738747435722E-2</c:v>
                </c:pt>
                <c:pt idx="52">
                  <c:v>0.11304091845746246</c:v>
                </c:pt>
                <c:pt idx="53">
                  <c:v>0.38252427184466015</c:v>
                </c:pt>
                <c:pt idx="54">
                  <c:v>0.71649826395661853</c:v>
                </c:pt>
                <c:pt idx="55">
                  <c:v>0.76869213413210935</c:v>
                </c:pt>
                <c:pt idx="56">
                  <c:v>0.40032977029793038</c:v>
                </c:pt>
                <c:pt idx="57">
                  <c:v>0.38414083659343956</c:v>
                </c:pt>
                <c:pt idx="58">
                  <c:v>0.3031973229099294</c:v>
                </c:pt>
                <c:pt idx="59">
                  <c:v>0.16027505950806653</c:v>
                </c:pt>
                <c:pt idx="60">
                  <c:v>6.4892842280482699E-2</c:v>
                </c:pt>
                <c:pt idx="61">
                  <c:v>-1.2477556308097932E-2</c:v>
                </c:pt>
                <c:pt idx="62">
                  <c:v>6.7303039634012277E-3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7E-C745-98C0-3DB3A7B7A628}"/>
            </c:ext>
          </c:extLst>
        </c:ser>
        <c:ser>
          <c:idx val="4"/>
          <c:order val="4"/>
          <c:tx>
            <c:v>1/10, sig adjust p2p1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tenth_opp!$A$2:$A$65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stat_sig_w3_p2p1!$H$2:$H$65</c:f>
              <c:numCache>
                <c:formatCode>0.0%</c:formatCode>
                <c:ptCount val="64"/>
                <c:pt idx="6">
                  <c:v>-0.21739999999999995</c:v>
                </c:pt>
                <c:pt idx="7">
                  <c:v>-4.5811965811965769E-2</c:v>
                </c:pt>
                <c:pt idx="8">
                  <c:v>-0.1500961429702522</c:v>
                </c:pt>
                <c:pt idx="9">
                  <c:v>-0.11952677155750699</c:v>
                </c:pt>
                <c:pt idx="10">
                  <c:v>-9.4741828517290044E-3</c:v>
                </c:pt>
                <c:pt idx="11">
                  <c:v>0.39114597926590083</c:v>
                </c:pt>
                <c:pt idx="12">
                  <c:v>0.66312370829642764</c:v>
                </c:pt>
                <c:pt idx="13">
                  <c:v>0.47802197802197793</c:v>
                </c:pt>
                <c:pt idx="14">
                  <c:v>0.26059954616027697</c:v>
                </c:pt>
                <c:pt idx="15">
                  <c:v>0.69071067340963543</c:v>
                </c:pt>
                <c:pt idx="16">
                  <c:v>0.78944452140185639</c:v>
                </c:pt>
                <c:pt idx="17">
                  <c:v>0.58763749402199894</c:v>
                </c:pt>
                <c:pt idx="18">
                  <c:v>0.21168177240684791</c:v>
                </c:pt>
                <c:pt idx="19">
                  <c:v>-2.6806319900585799E-2</c:v>
                </c:pt>
                <c:pt idx="20">
                  <c:v>4.7721967666637811E-2</c:v>
                </c:pt>
                <c:pt idx="21">
                  <c:v>0.18597820937944112</c:v>
                </c:pt>
                <c:pt idx="22">
                  <c:v>3.5421914357681725E-3</c:v>
                </c:pt>
                <c:pt idx="23">
                  <c:v>5.1865613872116335E-2</c:v>
                </c:pt>
                <c:pt idx="24">
                  <c:v>0.25958279990963173</c:v>
                </c:pt>
                <c:pt idx="25">
                  <c:v>0.62624667553191493</c:v>
                </c:pt>
                <c:pt idx="26">
                  <c:v>1.0011856986501277</c:v>
                </c:pt>
                <c:pt idx="27">
                  <c:v>0.46373463157026151</c:v>
                </c:pt>
                <c:pt idx="28">
                  <c:v>0.63173030835596722</c:v>
                </c:pt>
                <c:pt idx="29">
                  <c:v>0.59989018746568368</c:v>
                </c:pt>
                <c:pt idx="30">
                  <c:v>0.47446276125993525</c:v>
                </c:pt>
                <c:pt idx="31">
                  <c:v>0.32853043166327883</c:v>
                </c:pt>
                <c:pt idx="32">
                  <c:v>9.8431031839321406E-2</c:v>
                </c:pt>
                <c:pt idx="33">
                  <c:v>0.18021056469623076</c:v>
                </c:pt>
                <c:pt idx="34">
                  <c:v>0.61192851908224821</c:v>
                </c:pt>
                <c:pt idx="35">
                  <c:v>0.54156467247625584</c:v>
                </c:pt>
                <c:pt idx="36">
                  <c:v>0.51095749374908073</c:v>
                </c:pt>
                <c:pt idx="38">
                  <c:v>0.49399216956932634</c:v>
                </c:pt>
                <c:pt idx="39">
                  <c:v>0.15111896896664026</c:v>
                </c:pt>
                <c:pt idx="40">
                  <c:v>-0.11932805560919088</c:v>
                </c:pt>
                <c:pt idx="41">
                  <c:v>-0.19444638735399034</c:v>
                </c:pt>
                <c:pt idx="42">
                  <c:v>-0.17863948170731708</c:v>
                </c:pt>
                <c:pt idx="44">
                  <c:v>-0.3568902300528895</c:v>
                </c:pt>
                <c:pt idx="45">
                  <c:v>-0.43686366648593294</c:v>
                </c:pt>
                <c:pt idx="46">
                  <c:v>-0.23620710561416272</c:v>
                </c:pt>
                <c:pt idx="47">
                  <c:v>-0.36018417013812765</c:v>
                </c:pt>
                <c:pt idx="48">
                  <c:v>-0.53047668663714509</c:v>
                </c:pt>
                <c:pt idx="49">
                  <c:v>-0.43444302671770479</c:v>
                </c:pt>
                <c:pt idx="50">
                  <c:v>-0.15663423500481136</c:v>
                </c:pt>
                <c:pt idx="51">
                  <c:v>-0.1596092749774764</c:v>
                </c:pt>
                <c:pt idx="52">
                  <c:v>-0.1745386466969778</c:v>
                </c:pt>
                <c:pt idx="53">
                  <c:v>-0.2127321797110652</c:v>
                </c:pt>
                <c:pt idx="54">
                  <c:v>0.20670276197656087</c:v>
                </c:pt>
                <c:pt idx="55">
                  <c:v>0.58049006010171056</c:v>
                </c:pt>
                <c:pt idx="56">
                  <c:v>0.28091884870445066</c:v>
                </c:pt>
                <c:pt idx="57">
                  <c:v>0.23649847870182558</c:v>
                </c:pt>
                <c:pt idx="58">
                  <c:v>0.18512667155673421</c:v>
                </c:pt>
                <c:pt idx="59">
                  <c:v>0.26075686884396065</c:v>
                </c:pt>
                <c:pt idx="60">
                  <c:v>0.28379377562680647</c:v>
                </c:pt>
                <c:pt idx="61">
                  <c:v>0.12523428181973087</c:v>
                </c:pt>
                <c:pt idx="62">
                  <c:v>0.2303867080091265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7E-C745-98C0-3DB3A7B7A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417903"/>
        <c:axId val="1856198048"/>
      </c:lineChart>
      <c:catAx>
        <c:axId val="135741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198048"/>
        <c:crosses val="autoZero"/>
        <c:auto val="1"/>
        <c:lblAlgn val="ctr"/>
        <c:lblOffset val="100"/>
        <c:noMultiLvlLbl val="0"/>
      </c:catAx>
      <c:valAx>
        <c:axId val="1856198048"/>
        <c:scaling>
          <c:orientation val="minMax"/>
          <c:max val="1.8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17903"/>
        <c:crosses val="autoZero"/>
        <c:crossBetween val="between"/>
        <c:majorUnit val="0.60000000000000009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</xdr:colOff>
      <xdr:row>6</xdr:row>
      <xdr:rowOff>38100</xdr:rowOff>
    </xdr:from>
    <xdr:to>
      <xdr:col>29</xdr:col>
      <xdr:colOff>609600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A4B72-6DDE-4A48-87A5-194E26C2F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444500</xdr:colOff>
      <xdr:row>45</xdr:row>
      <xdr:rowOff>165100</xdr:rowOff>
    </xdr:from>
    <xdr:to>
      <xdr:col>27</xdr:col>
      <xdr:colOff>762000</xdr:colOff>
      <xdr:row>60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56F49A-22E4-BB20-F398-B31BC7478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70</xdr:row>
      <xdr:rowOff>0</xdr:rowOff>
    </xdr:from>
    <xdr:to>
      <xdr:col>28</xdr:col>
      <xdr:colOff>584200</xdr:colOff>
      <xdr:row>104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D7F03-3B29-EF4D-8737-8496856B9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C36B-E1A6-3140-8A71-9DAE434ABC1B}">
  <dimension ref="A1:U73"/>
  <sheetViews>
    <sheetView tabSelected="1" topLeftCell="A30" zoomScale="81" workbookViewId="0">
      <selection activeCell="J67" sqref="J67"/>
    </sheetView>
  </sheetViews>
  <sheetFormatPr baseColWidth="10" defaultRowHeight="16" x14ac:dyDescent="0.2"/>
  <cols>
    <col min="2" max="2" width="11.83203125" bestFit="1" customWidth="1"/>
  </cols>
  <sheetData>
    <row r="1" spans="1:19" x14ac:dyDescent="0.2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45</v>
      </c>
      <c r="I1" t="s">
        <v>46</v>
      </c>
      <c r="J1" t="s">
        <v>42</v>
      </c>
      <c r="K1" t="s">
        <v>66</v>
      </c>
      <c r="L1" t="s">
        <v>67</v>
      </c>
      <c r="P1" t="s">
        <v>49</v>
      </c>
      <c r="Q1" t="s">
        <v>30</v>
      </c>
      <c r="R1" t="s">
        <v>40</v>
      </c>
      <c r="S1" t="s">
        <v>41</v>
      </c>
    </row>
    <row r="2" spans="1:19" x14ac:dyDescent="0.2">
      <c r="A2">
        <v>1</v>
      </c>
      <c r="B2" t="s">
        <v>0</v>
      </c>
      <c r="C2">
        <v>24</v>
      </c>
      <c r="D2" s="1">
        <v>65.23</v>
      </c>
      <c r="E2" s="1">
        <v>100</v>
      </c>
      <c r="F2" s="1">
        <v>90.33</v>
      </c>
      <c r="G2" s="2">
        <f>(F2-E2)/E2</f>
        <v>-9.6700000000000022E-2</v>
      </c>
      <c r="H2" s="2"/>
      <c r="I2" s="2"/>
      <c r="N2" t="s">
        <v>43</v>
      </c>
      <c r="O2" s="3">
        <f>AVERAGE(G2:G63)</f>
        <v>3.8777375220542136E-2</v>
      </c>
      <c r="P2" s="2">
        <f>STDEV(G2:G43)</f>
        <v>0.12456691078280299</v>
      </c>
      <c r="Q2">
        <f>SUM(C:C)</f>
        <v>1921</v>
      </c>
      <c r="R2" s="1">
        <f>SUM(D:D)/Q2</f>
        <v>7.9459187922956778</v>
      </c>
      <c r="S2" s="5">
        <f>(F43-E2)/SUM(D:D)</f>
        <v>4.0250627124673505E-2</v>
      </c>
    </row>
    <row r="3" spans="1:19" x14ac:dyDescent="0.2">
      <c r="A3">
        <v>2</v>
      </c>
      <c r="B3" t="s">
        <v>1</v>
      </c>
      <c r="C3">
        <v>46</v>
      </c>
      <c r="D3" s="1">
        <v>76.61</v>
      </c>
      <c r="E3" s="1">
        <v>90.33</v>
      </c>
      <c r="F3" s="1">
        <v>90.71</v>
      </c>
      <c r="G3" s="2">
        <f t="shared" ref="G3:G49" si="0">(F3-E3)/E3</f>
        <v>4.2067972987932635E-3</v>
      </c>
      <c r="H3" s="2"/>
      <c r="I3" s="2"/>
      <c r="N3" t="s">
        <v>38</v>
      </c>
      <c r="O3" s="2">
        <f>(F63/E2)^(1/A63)-1</f>
        <v>2.9874342175730151E-2</v>
      </c>
    </row>
    <row r="4" spans="1:19" x14ac:dyDescent="0.2">
      <c r="A4">
        <v>3</v>
      </c>
      <c r="B4" t="s">
        <v>2</v>
      </c>
      <c r="C4">
        <v>23</v>
      </c>
      <c r="D4" s="1">
        <v>76.77</v>
      </c>
      <c r="E4" s="1">
        <v>90.71</v>
      </c>
      <c r="F4" s="1">
        <v>82.84</v>
      </c>
      <c r="G4" s="2">
        <f t="shared" si="0"/>
        <v>-8.6760004409657046E-2</v>
      </c>
      <c r="H4" s="2"/>
      <c r="I4" s="2"/>
    </row>
    <row r="5" spans="1:19" x14ac:dyDescent="0.2">
      <c r="A5">
        <v>4</v>
      </c>
      <c r="B5" t="s">
        <v>3</v>
      </c>
      <c r="C5">
        <v>48</v>
      </c>
      <c r="D5" s="1">
        <v>70.099999999999994</v>
      </c>
      <c r="E5" s="1">
        <v>82.84</v>
      </c>
      <c r="F5" s="1">
        <v>86.08</v>
      </c>
      <c r="G5" s="2">
        <f t="shared" si="0"/>
        <v>3.9111540318686563E-2</v>
      </c>
      <c r="H5" s="2"/>
      <c r="I5" s="2"/>
      <c r="N5" t="s">
        <v>44</v>
      </c>
      <c r="O5" s="3">
        <f>AVERAGE(J30:J63)</f>
        <v>9.8139730679340249E-3</v>
      </c>
    </row>
    <row r="6" spans="1:19" x14ac:dyDescent="0.2">
      <c r="A6">
        <v>5</v>
      </c>
      <c r="B6" t="s">
        <v>4</v>
      </c>
      <c r="C6">
        <v>24</v>
      </c>
      <c r="D6" s="1">
        <v>74.66</v>
      </c>
      <c r="E6" s="1">
        <v>86.08</v>
      </c>
      <c r="F6" s="1">
        <v>71.209999999999994</v>
      </c>
      <c r="G6" s="2">
        <f t="shared" si="0"/>
        <v>-0.1727462825278811</v>
      </c>
      <c r="H6" s="2"/>
      <c r="I6" s="2"/>
    </row>
    <row r="7" spans="1:19" x14ac:dyDescent="0.2">
      <c r="A7">
        <v>6</v>
      </c>
      <c r="B7" t="s">
        <v>5</v>
      </c>
      <c r="C7">
        <v>45</v>
      </c>
      <c r="D7" s="1">
        <v>52.93</v>
      </c>
      <c r="E7" s="1">
        <v>71.209999999999994</v>
      </c>
      <c r="F7" s="1">
        <v>68.37</v>
      </c>
      <c r="G7" s="2">
        <f t="shared" si="0"/>
        <v>-3.9882039039460603E-2</v>
      </c>
      <c r="H7" s="2"/>
      <c r="I7" s="2"/>
    </row>
    <row r="8" spans="1:19" x14ac:dyDescent="0.2">
      <c r="A8">
        <v>7</v>
      </c>
      <c r="B8" t="s">
        <v>6</v>
      </c>
      <c r="C8">
        <v>5</v>
      </c>
      <c r="D8" s="1">
        <v>11.01</v>
      </c>
      <c r="E8" s="1">
        <v>68.37</v>
      </c>
      <c r="F8" s="1">
        <v>78.47</v>
      </c>
      <c r="G8" s="2">
        <f t="shared" si="0"/>
        <v>0.1477256106479449</v>
      </c>
      <c r="H8" s="2">
        <f>(F8-E2)/E2</f>
        <v>-0.21530000000000002</v>
      </c>
      <c r="I8" s="2">
        <f>(F8/E2)^(1/7)-1</f>
        <v>-3.4043287761749474E-2</v>
      </c>
    </row>
    <row r="9" spans="1:19" x14ac:dyDescent="0.2">
      <c r="A9">
        <v>8</v>
      </c>
      <c r="B9" t="s">
        <v>7</v>
      </c>
      <c r="C9">
        <v>6</v>
      </c>
      <c r="D9" s="1">
        <v>17.14</v>
      </c>
      <c r="E9" s="1">
        <v>78.47</v>
      </c>
      <c r="F9" s="1">
        <v>84.9</v>
      </c>
      <c r="G9" s="2">
        <f t="shared" si="0"/>
        <v>8.1942143494329128E-2</v>
      </c>
      <c r="H9" s="2">
        <f>(F9-E3)/E3</f>
        <v>-6.0112919295914898E-2</v>
      </c>
      <c r="I9" s="2">
        <f>(F9/E3)^(1/7)-1</f>
        <v>-8.8174020870788183E-3</v>
      </c>
    </row>
    <row r="10" spans="1:19" x14ac:dyDescent="0.2">
      <c r="A10">
        <v>9</v>
      </c>
      <c r="B10" t="s">
        <v>8</v>
      </c>
      <c r="C10">
        <v>37</v>
      </c>
      <c r="D10" s="1">
        <v>48.63</v>
      </c>
      <c r="E10" s="1">
        <v>84.9</v>
      </c>
      <c r="F10" s="1">
        <v>76.099999999999994</v>
      </c>
      <c r="G10" s="2">
        <f t="shared" si="0"/>
        <v>-0.10365135453474689</v>
      </c>
      <c r="H10" s="2">
        <f t="shared" ref="H10:H42" si="1">(F10-E4)/E4</f>
        <v>-0.16106272737294675</v>
      </c>
      <c r="I10" s="2">
        <f t="shared" ref="I10:I42" si="2">(F10/E4)^(1/7)-1</f>
        <v>-2.4776376755187624E-2</v>
      </c>
    </row>
    <row r="11" spans="1:19" x14ac:dyDescent="0.2">
      <c r="A11">
        <v>10</v>
      </c>
      <c r="B11" t="s">
        <v>9</v>
      </c>
      <c r="C11">
        <v>6</v>
      </c>
      <c r="D11" s="1">
        <v>14.5</v>
      </c>
      <c r="E11" s="1">
        <v>76.099999999999994</v>
      </c>
      <c r="F11" s="1">
        <v>73.25</v>
      </c>
      <c r="G11" s="2">
        <f t="shared" si="0"/>
        <v>-3.7450722733245657E-2</v>
      </c>
      <c r="H11" s="2">
        <f t="shared" si="1"/>
        <v>-0.11576533075808791</v>
      </c>
      <c r="I11" s="2">
        <f t="shared" si="2"/>
        <v>-1.7422553765623627E-2</v>
      </c>
    </row>
    <row r="12" spans="1:19" x14ac:dyDescent="0.2">
      <c r="A12">
        <v>11</v>
      </c>
      <c r="B12" t="s">
        <v>10</v>
      </c>
      <c r="C12">
        <v>36</v>
      </c>
      <c r="D12" s="1">
        <v>64.12</v>
      </c>
      <c r="E12" s="1">
        <v>73.25</v>
      </c>
      <c r="F12" s="1">
        <v>86.27</v>
      </c>
      <c r="G12" s="2">
        <f t="shared" si="0"/>
        <v>0.17774744027303749</v>
      </c>
      <c r="H12" s="2">
        <f t="shared" si="1"/>
        <v>2.207249070631944E-3</v>
      </c>
      <c r="I12" s="2">
        <f t="shared" si="2"/>
        <v>3.150234201751978E-4</v>
      </c>
    </row>
    <row r="13" spans="1:19" x14ac:dyDescent="0.2">
      <c r="A13">
        <v>12</v>
      </c>
      <c r="B13" t="s">
        <v>11</v>
      </c>
      <c r="C13">
        <v>19</v>
      </c>
      <c r="D13" s="1">
        <v>42.34</v>
      </c>
      <c r="E13" s="1">
        <v>86.27</v>
      </c>
      <c r="F13" s="1">
        <v>101.65</v>
      </c>
      <c r="G13" s="2">
        <f t="shared" si="0"/>
        <v>0.17827750086936375</v>
      </c>
      <c r="H13" s="2">
        <f t="shared" si="1"/>
        <v>0.42746805223985418</v>
      </c>
      <c r="I13" s="2">
        <f t="shared" si="2"/>
        <v>5.2157884264889764E-2</v>
      </c>
    </row>
    <row r="14" spans="1:19" x14ac:dyDescent="0.2">
      <c r="A14">
        <v>13</v>
      </c>
      <c r="B14" t="s">
        <v>12</v>
      </c>
      <c r="C14">
        <v>45</v>
      </c>
      <c r="D14" s="1">
        <v>84.61</v>
      </c>
      <c r="E14" s="1">
        <v>101.65</v>
      </c>
      <c r="F14" s="1">
        <v>114.68</v>
      </c>
      <c r="G14" s="2">
        <f t="shared" si="0"/>
        <v>0.12818494835218888</v>
      </c>
      <c r="H14" s="2">
        <f t="shared" si="1"/>
        <v>0.67734386426795379</v>
      </c>
      <c r="I14" s="2">
        <f t="shared" si="2"/>
        <v>7.668551913035726E-2</v>
      </c>
    </row>
    <row r="15" spans="1:19" x14ac:dyDescent="0.2">
      <c r="A15">
        <v>14</v>
      </c>
      <c r="B15" t="s">
        <v>13</v>
      </c>
      <c r="C15">
        <v>30</v>
      </c>
      <c r="D15" s="1">
        <v>95.42</v>
      </c>
      <c r="E15" s="1">
        <v>114.68</v>
      </c>
      <c r="F15" s="1">
        <v>119.23</v>
      </c>
      <c r="G15" s="2">
        <f t="shared" si="0"/>
        <v>3.9675619114056475E-2</v>
      </c>
      <c r="H15" s="2">
        <f t="shared" si="1"/>
        <v>0.51943417866700659</v>
      </c>
      <c r="I15" s="2">
        <f t="shared" si="2"/>
        <v>6.1584468363843348E-2</v>
      </c>
    </row>
    <row r="16" spans="1:19" x14ac:dyDescent="0.2">
      <c r="A16">
        <v>15</v>
      </c>
      <c r="B16" t="s">
        <v>14</v>
      </c>
      <c r="C16">
        <v>39</v>
      </c>
      <c r="D16" s="1">
        <v>105.41</v>
      </c>
      <c r="E16" s="1">
        <v>119.23</v>
      </c>
      <c r="F16" s="1">
        <v>109.93</v>
      </c>
      <c r="G16" s="2">
        <f t="shared" si="0"/>
        <v>-7.8000503229053067E-2</v>
      </c>
      <c r="H16" s="2">
        <f t="shared" si="1"/>
        <v>0.29481743227326268</v>
      </c>
      <c r="I16" s="2">
        <f t="shared" si="2"/>
        <v>3.7599589130164812E-2</v>
      </c>
    </row>
    <row r="17" spans="1:13" x14ac:dyDescent="0.2">
      <c r="A17">
        <v>16</v>
      </c>
      <c r="B17" t="s">
        <v>15</v>
      </c>
      <c r="C17">
        <v>42</v>
      </c>
      <c r="D17" s="1">
        <v>101.31</v>
      </c>
      <c r="E17" s="1">
        <v>109.93</v>
      </c>
      <c r="F17" s="1">
        <v>133.38999999999999</v>
      </c>
      <c r="G17" s="2">
        <f t="shared" si="0"/>
        <v>0.21340853270262874</v>
      </c>
      <c r="H17" s="2">
        <f t="shared" si="1"/>
        <v>0.7528252299605781</v>
      </c>
      <c r="I17" s="2">
        <f t="shared" si="2"/>
        <v>8.3477263660561185E-2</v>
      </c>
    </row>
    <row r="18" spans="1:13" x14ac:dyDescent="0.2">
      <c r="A18">
        <v>17</v>
      </c>
      <c r="B18" t="s">
        <v>16</v>
      </c>
      <c r="C18">
        <v>43</v>
      </c>
      <c r="D18" s="1">
        <v>128.94</v>
      </c>
      <c r="E18" s="1">
        <v>133.38999999999999</v>
      </c>
      <c r="F18" s="1">
        <v>136.66</v>
      </c>
      <c r="G18" s="2">
        <f t="shared" si="0"/>
        <v>2.4514581302946328E-2</v>
      </c>
      <c r="H18" s="2">
        <f t="shared" si="1"/>
        <v>0.86566552901023885</v>
      </c>
      <c r="I18" s="2">
        <f t="shared" si="2"/>
        <v>9.3177139233296735E-2</v>
      </c>
    </row>
    <row r="19" spans="1:13" x14ac:dyDescent="0.2">
      <c r="A19">
        <v>18</v>
      </c>
      <c r="B19" t="s">
        <v>17</v>
      </c>
      <c r="C19">
        <v>40</v>
      </c>
      <c r="D19" s="1">
        <v>129.26</v>
      </c>
      <c r="E19" s="1">
        <v>136.66</v>
      </c>
      <c r="F19" s="1">
        <v>141.58000000000001</v>
      </c>
      <c r="G19" s="2">
        <f t="shared" si="0"/>
        <v>3.6001756183228567E-2</v>
      </c>
      <c r="H19" s="2">
        <f t="shared" si="1"/>
        <v>0.64112669525907062</v>
      </c>
      <c r="I19" s="2">
        <f t="shared" si="2"/>
        <v>7.3333259586152E-2</v>
      </c>
    </row>
    <row r="20" spans="1:13" x14ac:dyDescent="0.2">
      <c r="A20">
        <v>19</v>
      </c>
      <c r="B20" t="s">
        <v>18</v>
      </c>
      <c r="C20">
        <v>39</v>
      </c>
      <c r="D20" s="1">
        <v>132.80000000000001</v>
      </c>
      <c r="E20" s="1">
        <v>141.58000000000001</v>
      </c>
      <c r="F20" s="1">
        <v>129.91999999999999</v>
      </c>
      <c r="G20" s="2">
        <f t="shared" si="0"/>
        <v>-8.2356265009182264E-2</v>
      </c>
      <c r="H20" s="2">
        <f t="shared" si="1"/>
        <v>0.27811116576487932</v>
      </c>
      <c r="I20" s="2">
        <f t="shared" si="2"/>
        <v>3.567642330505838E-2</v>
      </c>
    </row>
    <row r="21" spans="1:13" x14ac:dyDescent="0.2">
      <c r="A21">
        <v>20</v>
      </c>
      <c r="B21" t="s">
        <v>19</v>
      </c>
      <c r="C21">
        <v>42</v>
      </c>
      <c r="D21" s="1">
        <v>104.15</v>
      </c>
      <c r="E21" s="1">
        <v>129.91999999999999</v>
      </c>
      <c r="F21" s="1">
        <v>123.79</v>
      </c>
      <c r="G21" s="2">
        <f t="shared" si="0"/>
        <v>-4.7182881773398876E-2</v>
      </c>
      <c r="H21" s="2">
        <f t="shared" si="1"/>
        <v>7.9438437391001038E-2</v>
      </c>
      <c r="I21" s="2">
        <f t="shared" si="2"/>
        <v>1.0979976658727297E-2</v>
      </c>
    </row>
    <row r="22" spans="1:13" x14ac:dyDescent="0.2">
      <c r="A22">
        <v>21</v>
      </c>
      <c r="B22" t="s">
        <v>20</v>
      </c>
      <c r="C22">
        <v>24</v>
      </c>
      <c r="D22" s="1">
        <v>103.1</v>
      </c>
      <c r="E22" s="1">
        <v>123.79</v>
      </c>
      <c r="F22" s="1">
        <v>146.35</v>
      </c>
      <c r="G22" s="2">
        <f t="shared" si="0"/>
        <v>0.18224412311172136</v>
      </c>
      <c r="H22" s="2">
        <f t="shared" si="1"/>
        <v>0.22745953199698055</v>
      </c>
      <c r="I22" s="2">
        <f t="shared" si="2"/>
        <v>2.9710904368307034E-2</v>
      </c>
    </row>
    <row r="23" spans="1:13" x14ac:dyDescent="0.2">
      <c r="A23">
        <v>22</v>
      </c>
      <c r="B23" t="s">
        <v>21</v>
      </c>
      <c r="C23">
        <v>12</v>
      </c>
      <c r="D23" s="1">
        <v>47.38</v>
      </c>
      <c r="E23" s="1">
        <v>146.35</v>
      </c>
      <c r="F23" s="1">
        <v>148.22999999999999</v>
      </c>
      <c r="G23" s="2">
        <f t="shared" si="0"/>
        <v>1.2845917321489549E-2</v>
      </c>
      <c r="H23" s="2">
        <f t="shared" si="1"/>
        <v>0.3484035295187845</v>
      </c>
      <c r="I23" s="2">
        <f t="shared" si="2"/>
        <v>4.3627939330835641E-2</v>
      </c>
    </row>
    <row r="24" spans="1:13" x14ac:dyDescent="0.2">
      <c r="A24">
        <v>23</v>
      </c>
      <c r="B24" t="s">
        <v>22</v>
      </c>
      <c r="C24">
        <v>45</v>
      </c>
      <c r="D24" s="1">
        <v>120.19</v>
      </c>
      <c r="E24" s="1">
        <v>148.22999999999999</v>
      </c>
      <c r="F24" s="1">
        <v>169.8</v>
      </c>
      <c r="G24" s="2">
        <f t="shared" si="0"/>
        <v>0.14551710180125496</v>
      </c>
      <c r="H24" s="2">
        <f t="shared" si="1"/>
        <v>0.27295899242821825</v>
      </c>
      <c r="I24" s="2">
        <f t="shared" si="2"/>
        <v>3.5078976278379637E-2</v>
      </c>
    </row>
    <row r="25" spans="1:13" x14ac:dyDescent="0.2">
      <c r="A25">
        <v>24</v>
      </c>
      <c r="B25" t="s">
        <v>23</v>
      </c>
      <c r="C25">
        <v>17</v>
      </c>
      <c r="D25" s="1">
        <v>85.81</v>
      </c>
      <c r="E25" s="1">
        <v>169.8</v>
      </c>
      <c r="F25" s="1">
        <v>188.13</v>
      </c>
      <c r="G25" s="2">
        <f t="shared" si="0"/>
        <v>0.10795053003533558</v>
      </c>
      <c r="H25" s="2">
        <f t="shared" si="1"/>
        <v>0.3766281282013757</v>
      </c>
      <c r="I25" s="2">
        <f t="shared" si="2"/>
        <v>4.6721026727438719E-2</v>
      </c>
    </row>
    <row r="26" spans="1:13" x14ac:dyDescent="0.2">
      <c r="A26">
        <v>25</v>
      </c>
      <c r="B26" t="s">
        <v>24</v>
      </c>
      <c r="C26">
        <v>45</v>
      </c>
      <c r="D26" s="1">
        <v>129.5</v>
      </c>
      <c r="E26" s="1">
        <v>188.13</v>
      </c>
      <c r="F26" s="1">
        <v>211.63</v>
      </c>
      <c r="G26" s="2">
        <f t="shared" si="0"/>
        <v>0.12491362355817785</v>
      </c>
      <c r="H26" s="2">
        <f t="shared" si="1"/>
        <v>0.49477327306116664</v>
      </c>
      <c r="I26" s="2">
        <f t="shared" si="2"/>
        <v>5.9105764916966841E-2</v>
      </c>
    </row>
    <row r="27" spans="1:13" x14ac:dyDescent="0.2">
      <c r="A27">
        <v>26</v>
      </c>
      <c r="B27" t="s">
        <v>25</v>
      </c>
      <c r="C27">
        <v>29</v>
      </c>
      <c r="D27" s="1">
        <v>180.04</v>
      </c>
      <c r="E27" s="1">
        <v>211.63</v>
      </c>
      <c r="F27" s="1">
        <v>262.45999999999998</v>
      </c>
      <c r="G27" s="2">
        <f t="shared" si="0"/>
        <v>0.24018333884609924</v>
      </c>
      <c r="H27" s="2">
        <f t="shared" si="1"/>
        <v>1.0201662561576355</v>
      </c>
      <c r="I27" s="2">
        <f t="shared" si="2"/>
        <v>0.10567306596433523</v>
      </c>
    </row>
    <row r="28" spans="1:13" x14ac:dyDescent="0.2">
      <c r="A28">
        <v>27</v>
      </c>
      <c r="B28" t="s">
        <v>26</v>
      </c>
      <c r="C28">
        <v>47</v>
      </c>
      <c r="D28" s="1">
        <v>209.37</v>
      </c>
      <c r="E28" s="1">
        <v>262.45999999999998</v>
      </c>
      <c r="F28" s="1">
        <v>290.83</v>
      </c>
      <c r="G28" s="2">
        <f t="shared" si="0"/>
        <v>0.10809266173893167</v>
      </c>
      <c r="H28" s="2">
        <f t="shared" si="1"/>
        <v>1.3493820179335969</v>
      </c>
      <c r="I28" s="2">
        <f t="shared" si="2"/>
        <v>0.12977868589747255</v>
      </c>
    </row>
    <row r="29" spans="1:13" x14ac:dyDescent="0.2">
      <c r="A29">
        <v>28</v>
      </c>
      <c r="B29" t="s">
        <v>27</v>
      </c>
      <c r="C29">
        <v>21</v>
      </c>
      <c r="D29" s="1">
        <v>181.29</v>
      </c>
      <c r="E29" s="1">
        <v>290.83</v>
      </c>
      <c r="F29" s="1">
        <v>235.44</v>
      </c>
      <c r="G29" s="2">
        <f t="shared" si="0"/>
        <v>-0.19045490492727707</v>
      </c>
      <c r="H29" s="2">
        <f t="shared" si="1"/>
        <v>0.60874615647420571</v>
      </c>
      <c r="I29" s="2">
        <f t="shared" si="2"/>
        <v>7.0281990019241736E-2</v>
      </c>
    </row>
    <row r="30" spans="1:13" x14ac:dyDescent="0.2">
      <c r="A30">
        <v>29</v>
      </c>
      <c r="B30" t="s">
        <v>28</v>
      </c>
      <c r="C30">
        <v>38</v>
      </c>
      <c r="D30" s="1">
        <v>231.14</v>
      </c>
      <c r="E30" s="1">
        <v>235.44</v>
      </c>
      <c r="F30" s="1">
        <v>259.07</v>
      </c>
      <c r="G30" s="2">
        <f t="shared" si="0"/>
        <v>0.10036527353041112</v>
      </c>
      <c r="H30" s="2">
        <f t="shared" si="1"/>
        <v>0.74775686433245636</v>
      </c>
      <c r="I30" s="2">
        <f t="shared" si="2"/>
        <v>8.3029148222627303E-2</v>
      </c>
      <c r="J30" s="2">
        <f>76.15/750</f>
        <v>0.10153333333333334</v>
      </c>
      <c r="K30" s="2">
        <f>(1+J30)-1</f>
        <v>0.10153333333333325</v>
      </c>
      <c r="L30" s="2"/>
      <c r="M30" s="2"/>
    </row>
    <row r="31" spans="1:13" x14ac:dyDescent="0.2">
      <c r="A31">
        <v>30</v>
      </c>
      <c r="B31" s="4">
        <v>45608</v>
      </c>
      <c r="C31">
        <v>23</v>
      </c>
      <c r="D31" s="1">
        <v>216.74</v>
      </c>
      <c r="E31" s="1">
        <v>259.07</v>
      </c>
      <c r="F31" s="1">
        <v>322.87</v>
      </c>
      <c r="G31" s="2">
        <f t="shared" si="0"/>
        <v>0.24626548809202151</v>
      </c>
      <c r="H31" s="2">
        <f t="shared" si="1"/>
        <v>0.90147232037691394</v>
      </c>
      <c r="I31" s="2">
        <f t="shared" si="2"/>
        <v>9.6150032606461266E-2</v>
      </c>
      <c r="J31" s="2">
        <f>-29.45/800</f>
        <v>-3.6812499999999998E-2</v>
      </c>
      <c r="K31" s="2">
        <f>((1+1*K30)+(1*K30+1)*J31)-1</f>
        <v>6.098313749999984E-2</v>
      </c>
      <c r="L31" s="2"/>
      <c r="M31" s="2"/>
    </row>
    <row r="32" spans="1:13" x14ac:dyDescent="0.2">
      <c r="A32">
        <v>31</v>
      </c>
      <c r="B32" t="s">
        <v>37</v>
      </c>
      <c r="C32">
        <v>35</v>
      </c>
      <c r="D32" s="1">
        <v>322.87</v>
      </c>
      <c r="E32" s="1">
        <v>322.87</v>
      </c>
      <c r="F32" s="1">
        <v>388.74</v>
      </c>
      <c r="G32" s="2">
        <f t="shared" si="0"/>
        <v>0.20401399944250009</v>
      </c>
      <c r="H32" s="2">
        <f t="shared" si="1"/>
        <v>1.0663371073194068</v>
      </c>
      <c r="I32" s="2">
        <f t="shared" si="2"/>
        <v>0.10924821688660757</v>
      </c>
      <c r="J32" s="2">
        <f>189.91/800</f>
        <v>0.2373875</v>
      </c>
      <c r="K32" s="2">
        <f>((1+1*K31)+(1*K31+1)*J32)-1</f>
        <v>0.31284727205328111</v>
      </c>
      <c r="L32" s="2"/>
      <c r="M32" s="2"/>
    </row>
    <row r="33" spans="1:16" x14ac:dyDescent="0.2">
      <c r="A33">
        <v>32</v>
      </c>
      <c r="B33" s="4">
        <v>45610</v>
      </c>
      <c r="C33">
        <v>25</v>
      </c>
      <c r="D33" s="1">
        <v>330.8</v>
      </c>
      <c r="E33" s="1">
        <v>388.74</v>
      </c>
      <c r="F33" s="1">
        <v>407.24</v>
      </c>
      <c r="G33" s="2">
        <f>(F33-E33)/E33</f>
        <v>4.7589648608324327E-2</v>
      </c>
      <c r="H33" s="2">
        <f t="shared" si="1"/>
        <v>0.92430184756414502</v>
      </c>
      <c r="I33" s="2">
        <f t="shared" si="2"/>
        <v>9.8020520832225344E-2</v>
      </c>
      <c r="J33" s="2">
        <f>-49.39/900</f>
        <v>-5.4877777777777775E-2</v>
      </c>
      <c r="K33" s="2">
        <f>((1+1*K32)+(1*K32+1)*J33)-1</f>
        <v>0.24080113120137936</v>
      </c>
      <c r="L33" s="2"/>
      <c r="M33" s="2"/>
    </row>
    <row r="34" spans="1:16" x14ac:dyDescent="0.2">
      <c r="A34">
        <v>33</v>
      </c>
      <c r="B34" s="4">
        <v>45611</v>
      </c>
      <c r="C34">
        <v>35</v>
      </c>
      <c r="D34" s="1">
        <v>400.85</v>
      </c>
      <c r="E34" s="1">
        <v>407.24</v>
      </c>
      <c r="F34" s="1">
        <v>468.56</v>
      </c>
      <c r="G34" s="2">
        <f>(F34-E34)/E34</f>
        <v>0.15057459974462231</v>
      </c>
      <c r="H34" s="2">
        <f t="shared" si="1"/>
        <v>0.78526251619294385</v>
      </c>
      <c r="I34" s="2">
        <f t="shared" si="2"/>
        <v>8.6319163604466231E-2</v>
      </c>
      <c r="J34" s="2">
        <f>221.67/1600</f>
        <v>0.13854374999999999</v>
      </c>
      <c r="K34" s="2">
        <f t="shared" ref="K34:K45" si="3">((1+1*K33)+(1*K33+1)*J34)-1</f>
        <v>0.41270637292226042</v>
      </c>
      <c r="L34" s="2"/>
      <c r="M34" s="2"/>
    </row>
    <row r="35" spans="1:16" x14ac:dyDescent="0.2">
      <c r="A35">
        <v>34</v>
      </c>
      <c r="B35" s="4">
        <v>45612</v>
      </c>
      <c r="C35">
        <v>49</v>
      </c>
      <c r="D35" s="1">
        <v>404.61</v>
      </c>
      <c r="E35" s="1">
        <v>468.56</v>
      </c>
      <c r="F35" s="1">
        <v>527.05999999999995</v>
      </c>
      <c r="G35" s="2">
        <f t="shared" si="0"/>
        <v>0.12485060611234408</v>
      </c>
      <c r="H35" s="2">
        <f>(F35-E29)/E29</f>
        <v>0.81226145858405241</v>
      </c>
      <c r="I35" s="2">
        <f t="shared" si="2"/>
        <v>8.8651044235921406E-2</v>
      </c>
      <c r="J35" s="2">
        <f>190/1850</f>
        <v>0.10270270270270271</v>
      </c>
      <c r="K35" s="2">
        <f t="shared" si="3"/>
        <v>0.55779513554670879</v>
      </c>
      <c r="L35" s="2">
        <f>(K35)/(K30+1)</f>
        <v>0.50638062296197017</v>
      </c>
      <c r="M35" s="2"/>
    </row>
    <row r="36" spans="1:16" x14ac:dyDescent="0.2">
      <c r="A36">
        <v>35</v>
      </c>
      <c r="B36" s="4">
        <v>45613</v>
      </c>
      <c r="C36">
        <v>22</v>
      </c>
      <c r="D36" s="1">
        <v>338.63</v>
      </c>
      <c r="E36" s="1">
        <v>527.05999999999995</v>
      </c>
      <c r="F36" s="1">
        <v>528.54999999999995</v>
      </c>
      <c r="G36" s="2">
        <f t="shared" si="0"/>
        <v>2.8270026182977445E-3</v>
      </c>
      <c r="H36" s="2">
        <f>(F36-E30)/E30</f>
        <v>1.2449456337071014</v>
      </c>
      <c r="I36" s="2">
        <f t="shared" si="2"/>
        <v>0.12246358666650181</v>
      </c>
      <c r="J36" s="2">
        <f>35.21/2000</f>
        <v>1.7604999999999999E-2</v>
      </c>
      <c r="K36" s="2">
        <f t="shared" si="3"/>
        <v>0.58522011890800862</v>
      </c>
      <c r="L36" s="2">
        <f>(K36)/(K31+1)</f>
        <v>0.55158286519705291</v>
      </c>
      <c r="M36" s="2"/>
    </row>
    <row r="37" spans="1:16" x14ac:dyDescent="0.2">
      <c r="A37">
        <v>36</v>
      </c>
      <c r="B37" s="4">
        <v>45613</v>
      </c>
      <c r="C37">
        <v>22</v>
      </c>
      <c r="D37" s="1">
        <v>494.09</v>
      </c>
      <c r="E37" s="1">
        <v>528.54999999999995</v>
      </c>
      <c r="F37" s="1">
        <v>536.41999999999996</v>
      </c>
      <c r="G37" s="2">
        <f t="shared" si="0"/>
        <v>1.4889792829439041E-2</v>
      </c>
      <c r="H37" s="2">
        <f t="shared" si="1"/>
        <v>1.0705600802871809</v>
      </c>
      <c r="I37" s="2">
        <f t="shared" si="2"/>
        <v>0.10957178651787092</v>
      </c>
      <c r="J37" s="2">
        <f>-121.6/2000</f>
        <v>-6.08E-2</v>
      </c>
      <c r="K37" s="2">
        <f t="shared" si="3"/>
        <v>0.48883873567840164</v>
      </c>
      <c r="L37" s="2">
        <f t="shared" ref="L37:L63" si="4">(K37)/(K32+1)</f>
        <v>0.37235004107816921</v>
      </c>
      <c r="M37" s="2"/>
    </row>
    <row r="38" spans="1:16" x14ac:dyDescent="0.2">
      <c r="A38">
        <v>37</v>
      </c>
      <c r="B38" s="4">
        <v>45614</v>
      </c>
      <c r="C38">
        <v>25</v>
      </c>
      <c r="D38" s="1">
        <v>515.73</v>
      </c>
      <c r="E38" s="1">
        <v>536.41999999999996</v>
      </c>
      <c r="F38" s="1">
        <v>523.85</v>
      </c>
      <c r="G38" s="2">
        <f t="shared" si="0"/>
        <v>-2.3433130755750972E-2</v>
      </c>
      <c r="H38" s="2">
        <f t="shared" si="1"/>
        <v>0.62247963576671728</v>
      </c>
      <c r="I38" s="2">
        <f t="shared" si="2"/>
        <v>7.1582488293751911E-2</v>
      </c>
      <c r="J38" s="2">
        <f>-29.69/2250</f>
        <v>-1.3195555555555556E-2</v>
      </c>
      <c r="K38" s="2">
        <f t="shared" si="3"/>
        <v>0.46919268142849413</v>
      </c>
      <c r="L38" s="2">
        <f t="shared" si="4"/>
        <v>0.37813689045738397</v>
      </c>
      <c r="M38" s="2"/>
    </row>
    <row r="39" spans="1:16" x14ac:dyDescent="0.2">
      <c r="A39">
        <v>38</v>
      </c>
      <c r="B39" s="4">
        <v>45615</v>
      </c>
      <c r="C39">
        <v>23</v>
      </c>
      <c r="D39" s="1">
        <v>378.44</v>
      </c>
      <c r="E39" s="1">
        <v>523.85</v>
      </c>
      <c r="F39" s="1">
        <v>736.39</v>
      </c>
      <c r="G39" s="2">
        <f t="shared" si="0"/>
        <v>0.40572683019948452</v>
      </c>
      <c r="H39" s="2">
        <f t="shared" si="1"/>
        <v>0.89429953182075417</v>
      </c>
      <c r="I39" s="2">
        <f t="shared" si="2"/>
        <v>9.5558371301630807E-2</v>
      </c>
      <c r="J39" s="2">
        <f>790.05/2200</f>
        <v>0.35911363636363636</v>
      </c>
      <c r="K39" s="2">
        <f t="shared" si="3"/>
        <v>0.99679980777512212</v>
      </c>
      <c r="L39" s="2">
        <f t="shared" si="4"/>
        <v>0.70559588806355222</v>
      </c>
      <c r="M39" s="2"/>
    </row>
    <row r="40" spans="1:16" x14ac:dyDescent="0.2">
      <c r="A40">
        <v>39</v>
      </c>
      <c r="B40" s="4">
        <v>45616</v>
      </c>
      <c r="C40">
        <v>43</v>
      </c>
      <c r="D40" s="1">
        <v>626.65</v>
      </c>
      <c r="E40" s="1">
        <v>736.39</v>
      </c>
      <c r="F40" s="1">
        <v>717.22</v>
      </c>
      <c r="G40" s="2">
        <f t="shared" si="0"/>
        <v>-2.603240130908888E-2</v>
      </c>
      <c r="H40" s="2">
        <f t="shared" si="1"/>
        <v>0.76117277281210105</v>
      </c>
      <c r="I40" s="2">
        <f t="shared" si="2"/>
        <v>8.4212889730609142E-2</v>
      </c>
      <c r="J40" s="2">
        <f>-144.93/3000</f>
        <v>-4.8310000000000006E-2</v>
      </c>
      <c r="K40" s="2">
        <f t="shared" si="3"/>
        <v>0.90033440906150597</v>
      </c>
      <c r="L40" s="2">
        <f t="shared" si="4"/>
        <v>0.57795430767315448</v>
      </c>
      <c r="M40" s="2"/>
    </row>
    <row r="41" spans="1:16" x14ac:dyDescent="0.2">
      <c r="A41">
        <v>40</v>
      </c>
      <c r="B41" s="4">
        <v>45617</v>
      </c>
      <c r="C41">
        <v>10</v>
      </c>
      <c r="D41" s="1">
        <v>206.39</v>
      </c>
      <c r="E41" s="1">
        <v>717.22</v>
      </c>
      <c r="F41" s="1">
        <v>675.39</v>
      </c>
      <c r="G41" s="2">
        <f t="shared" si="0"/>
        <v>-5.8322411533420764E-2</v>
      </c>
      <c r="H41" s="2">
        <f t="shared" si="1"/>
        <v>0.44141625405497692</v>
      </c>
      <c r="I41" s="2">
        <f t="shared" si="2"/>
        <v>5.36204761459802E-2</v>
      </c>
      <c r="J41" s="2">
        <f>-50.95/2900</f>
        <v>-1.7568965517241381E-2</v>
      </c>
      <c r="K41" s="2">
        <f t="shared" si="3"/>
        <v>0.86694749935747706</v>
      </c>
      <c r="L41" s="2">
        <f t="shared" si="4"/>
        <v>0.54689408052345478</v>
      </c>
      <c r="M41" s="2"/>
    </row>
    <row r="42" spans="1:16" x14ac:dyDescent="0.2">
      <c r="A42">
        <v>41</v>
      </c>
      <c r="B42" s="4">
        <v>45618</v>
      </c>
      <c r="C42">
        <v>41</v>
      </c>
      <c r="D42" s="1">
        <v>455.28</v>
      </c>
      <c r="E42" s="1">
        <v>675.39</v>
      </c>
      <c r="F42" s="1">
        <v>635.01</v>
      </c>
      <c r="G42" s="2">
        <f t="shared" si="0"/>
        <v>-5.9787678230355787E-2</v>
      </c>
      <c r="H42" s="2">
        <f t="shared" si="1"/>
        <v>0.20481539103707369</v>
      </c>
      <c r="I42" s="2">
        <f t="shared" si="2"/>
        <v>2.697547496389574E-2</v>
      </c>
      <c r="J42" s="2">
        <f>-269/2950</f>
        <v>-9.1186440677966107E-2</v>
      </c>
      <c r="K42" s="2">
        <f t="shared" si="3"/>
        <v>0.69670720195843927</v>
      </c>
      <c r="L42" s="2">
        <f t="shared" si="4"/>
        <v>0.46795343596496292</v>
      </c>
      <c r="M42" s="2"/>
      <c r="O42" t="s">
        <v>47</v>
      </c>
      <c r="P42" s="3">
        <f>AVERAGE(H8:H46)</f>
        <v>0.49917329992166032</v>
      </c>
    </row>
    <row r="43" spans="1:16" x14ac:dyDescent="0.2">
      <c r="A43">
        <v>42</v>
      </c>
      <c r="B43" s="4">
        <v>45619</v>
      </c>
      <c r="C43">
        <v>4</v>
      </c>
      <c r="D43" s="1">
        <v>81.52</v>
      </c>
      <c r="E43" s="1">
        <v>635.01</v>
      </c>
      <c r="F43" s="1">
        <v>714.39</v>
      </c>
      <c r="G43" s="2">
        <f t="shared" si="0"/>
        <v>0.12500590541881229</v>
      </c>
      <c r="H43" s="2">
        <f t="shared" ref="H43" si="5">(F43-E37)/E37</f>
        <v>0.35160344338283994</v>
      </c>
      <c r="I43" s="2">
        <f t="shared" ref="I43" si="6">(F43/E37)^(1/7)-1</f>
        <v>4.398138672962415E-2</v>
      </c>
      <c r="J43" s="2">
        <f>128.96/2890</f>
        <v>4.4622837370242217E-2</v>
      </c>
      <c r="K43" s="2">
        <f t="shared" si="3"/>
        <v>0.77241909149634935</v>
      </c>
      <c r="L43" s="2">
        <f t="shared" si="4"/>
        <v>0.52574390089210576</v>
      </c>
      <c r="M43" s="2"/>
      <c r="O43" t="s">
        <v>48</v>
      </c>
      <c r="P43" s="2">
        <f>STDEV(H8:H46)</f>
        <v>0.41515848008770756</v>
      </c>
    </row>
    <row r="44" spans="1:16" x14ac:dyDescent="0.2">
      <c r="A44">
        <v>43</v>
      </c>
      <c r="B44" s="4">
        <v>45620</v>
      </c>
      <c r="C44">
        <v>41</v>
      </c>
      <c r="D44" s="1">
        <v>577.21</v>
      </c>
      <c r="E44" s="1">
        <v>714.39</v>
      </c>
      <c r="F44" s="1">
        <v>546.21</v>
      </c>
      <c r="G44" s="2">
        <f t="shared" si="0"/>
        <v>-0.23541762902616212</v>
      </c>
      <c r="H44" s="2">
        <f t="shared" ref="H44" si="7">(F44-E38)/E38</f>
        <v>1.825062451064479E-2</v>
      </c>
      <c r="I44" s="2">
        <f t="shared" ref="I44" si="8">(F44/E38)^(1/7)-1</f>
        <v>2.587066533815241E-3</v>
      </c>
      <c r="J44" s="2">
        <f>-751.41/2800</f>
        <v>-0.26836071428571429</v>
      </c>
      <c r="K44" s="2">
        <f>((1+1*K43)+(1*K43+1)*J44)-1</f>
        <v>0.29677143808875228</v>
      </c>
      <c r="L44" s="2">
        <f t="shared" si="4"/>
        <v>0.1486235309785118</v>
      </c>
      <c r="M44" s="2"/>
    </row>
    <row r="45" spans="1:16" x14ac:dyDescent="0.2">
      <c r="A45">
        <v>44</v>
      </c>
      <c r="B45" s="4">
        <v>45621</v>
      </c>
      <c r="C45">
        <v>13</v>
      </c>
      <c r="D45" s="1">
        <v>258.76</v>
      </c>
      <c r="E45" s="1">
        <v>546.21</v>
      </c>
      <c r="F45" s="1">
        <v>578.84</v>
      </c>
      <c r="G45" s="2">
        <f t="shared" si="0"/>
        <v>5.9738928251038964E-2</v>
      </c>
      <c r="H45" s="2">
        <f t="shared" ref="H45" si="9">(F45-E39)/E39</f>
        <v>0.10497279755655246</v>
      </c>
      <c r="I45" s="2">
        <f t="shared" ref="I45" si="10">(F45/E39)^(1/7)-1</f>
        <v>1.4362262727249497E-2</v>
      </c>
      <c r="J45" s="2">
        <f>130.85/2100</f>
        <v>6.2309523809523808E-2</v>
      </c>
      <c r="K45" s="2">
        <f t="shared" si="3"/>
        <v>0.37757264888585373</v>
      </c>
      <c r="L45" s="2">
        <f t="shared" si="4"/>
        <v>0.19868747683852167</v>
      </c>
      <c r="M45" s="2"/>
    </row>
    <row r="46" spans="1:16" x14ac:dyDescent="0.2">
      <c r="A46">
        <v>45</v>
      </c>
      <c r="B46" s="4">
        <v>45622</v>
      </c>
      <c r="C46">
        <v>39</v>
      </c>
      <c r="D46" s="1">
        <v>413.56</v>
      </c>
      <c r="E46" s="1">
        <v>578.84</v>
      </c>
      <c r="F46" s="1">
        <v>612.04</v>
      </c>
      <c r="G46" s="2">
        <f t="shared" si="0"/>
        <v>5.7356091493331367E-2</v>
      </c>
      <c r="H46" s="2">
        <f>(F46-E40)/E40</f>
        <v>-0.16886432461060039</v>
      </c>
      <c r="I46" s="2">
        <f t="shared" ref="I46" si="11">(F46/E40)^(1/7)-1</f>
        <v>-2.6077138087510332E-2</v>
      </c>
      <c r="J46" s="2">
        <f>64.54/2200</f>
        <v>2.933636363636364E-2</v>
      </c>
      <c r="K46" s="2">
        <f>((1+1*K45)+(1*K45+1)*J46)-1</f>
        <v>0.41798562104907777</v>
      </c>
      <c r="L46" s="2">
        <f t="shared" si="4"/>
        <v>0.22388718546875605</v>
      </c>
      <c r="M46" s="2"/>
    </row>
    <row r="47" spans="1:16" x14ac:dyDescent="0.2">
      <c r="A47">
        <v>46</v>
      </c>
      <c r="B47" s="4">
        <v>45625</v>
      </c>
      <c r="C47">
        <v>41</v>
      </c>
      <c r="D47" s="1">
        <v>466.36</v>
      </c>
      <c r="E47" s="1">
        <v>612.04</v>
      </c>
      <c r="F47" s="1">
        <v>539.67999999999995</v>
      </c>
      <c r="G47" s="2">
        <f t="shared" si="0"/>
        <v>-0.1182275668256977</v>
      </c>
      <c r="H47" s="2">
        <f>(F47-E41)/E41</f>
        <v>-0.24753910933883616</v>
      </c>
      <c r="I47" s="2">
        <f t="shared" ref="I47" si="12">(F47/E41)^(1/7)-1</f>
        <v>-3.981515403883451E-2</v>
      </c>
      <c r="J47" s="2">
        <f>-133.68/2250</f>
        <v>-5.9413333333333339E-2</v>
      </c>
      <c r="K47" s="2">
        <f>((1+1*K46)+(1*K46+1)*J47)-1</f>
        <v>0.33373836868381512</v>
      </c>
      <c r="L47" s="2">
        <f t="shared" si="4"/>
        <v>0.19669767906837118</v>
      </c>
      <c r="M47" s="2"/>
    </row>
    <row r="48" spans="1:16" ht="17" thickBot="1" x14ac:dyDescent="0.25">
      <c r="A48">
        <v>47</v>
      </c>
      <c r="B48" s="4">
        <v>45626</v>
      </c>
      <c r="C48">
        <v>37</v>
      </c>
      <c r="D48" s="1">
        <v>383.34</v>
      </c>
      <c r="E48" s="1">
        <v>539.67999999999995</v>
      </c>
      <c r="F48" s="1">
        <v>552.66999999999996</v>
      </c>
      <c r="G48" s="2">
        <f t="shared" si="0"/>
        <v>2.4069819152090145E-2</v>
      </c>
      <c r="H48" s="2">
        <f>(F48-E42)/E42</f>
        <v>-0.18170242378477625</v>
      </c>
      <c r="I48" s="2">
        <f t="shared" ref="I48" si="13">(F48/E42)^(1/7)-1</f>
        <v>-2.8240596007727437E-2</v>
      </c>
      <c r="J48" s="2">
        <f>153.42/2100</f>
        <v>7.3057142857142848E-2</v>
      </c>
      <c r="K48" s="2">
        <f>((1+1*K47)+(1*K47+1)*J48)-1</f>
        <v>0.43117748321880134</v>
      </c>
      <c r="L48" s="2">
        <f t="shared" si="4"/>
        <v>0.24327061544726619</v>
      </c>
      <c r="M48" s="2"/>
      <c r="N48" t="s">
        <v>51</v>
      </c>
      <c r="O48" s="3" t="s">
        <v>52</v>
      </c>
      <c r="P48" t="s">
        <v>53</v>
      </c>
    </row>
    <row r="49" spans="1:21" x14ac:dyDescent="0.2">
      <c r="A49">
        <v>48</v>
      </c>
      <c r="B49" s="4">
        <v>45627</v>
      </c>
      <c r="C49">
        <v>32</v>
      </c>
      <c r="D49" s="1">
        <v>519.79999999999995</v>
      </c>
      <c r="E49" s="1">
        <v>552.66999999999996</v>
      </c>
      <c r="F49" s="1">
        <v>425.32</v>
      </c>
      <c r="G49" s="2">
        <f t="shared" si="0"/>
        <v>-0.23042683699133293</v>
      </c>
      <c r="H49" s="2">
        <f>(F49-E43)/E43</f>
        <v>-0.33021527220043778</v>
      </c>
      <c r="I49" s="2">
        <f t="shared" ref="I49" si="14">(F49/E43)^(1/7)-1</f>
        <v>-5.5648649326976773E-2</v>
      </c>
      <c r="J49" s="2">
        <f>-399.98/2300</f>
        <v>-0.17390434782608696</v>
      </c>
      <c r="K49" s="2">
        <f>((1+1*K48)+(1*K48+1)*J49)-1</f>
        <v>0.18228949637625513</v>
      </c>
      <c r="L49" s="2">
        <f t="shared" si="4"/>
        <v>0.14057180087565985</v>
      </c>
      <c r="M49" s="9" t="s">
        <v>50</v>
      </c>
      <c r="N49" s="8">
        <v>-0.2</v>
      </c>
      <c r="O49" s="6">
        <v>-0.15</v>
      </c>
      <c r="P49">
        <f>COUNTIF(G2:G42, "&gt;="&amp;N49) - COUNTIF(G2:G42,"&gt;"&amp;O49)</f>
        <v>2</v>
      </c>
      <c r="R49" s="6">
        <v>-0.15</v>
      </c>
      <c r="T49" s="12" t="s">
        <v>63</v>
      </c>
      <c r="U49" s="12" t="s">
        <v>65</v>
      </c>
    </row>
    <row r="50" spans="1:21" x14ac:dyDescent="0.2">
      <c r="A50">
        <v>49</v>
      </c>
      <c r="B50" s="4">
        <v>45628</v>
      </c>
      <c r="C50">
        <v>21</v>
      </c>
      <c r="D50" s="1">
        <v>286.29000000000002</v>
      </c>
      <c r="E50" s="1">
        <v>425.32</v>
      </c>
      <c r="F50" s="1">
        <v>313.61</v>
      </c>
      <c r="G50" s="2">
        <f t="shared" ref="G50:G53" si="15">(F50-E50)/E50</f>
        <v>-0.26264929935107678</v>
      </c>
      <c r="H50" s="2">
        <f t="shared" ref="H50:H52" si="16">(F50-E44)/E44</f>
        <v>-0.56101009252649114</v>
      </c>
      <c r="I50" s="2">
        <f t="shared" ref="I50:I52" si="17">(F50/E44)^(1/7)-1</f>
        <v>-0.11095841309365417</v>
      </c>
      <c r="J50" s="2">
        <f>-502.6/1900</f>
        <v>-0.26452631578947372</v>
      </c>
      <c r="K50" s="2">
        <f>((1+1*K49)+(1*K49+1)*J50)-1</f>
        <v>-0.13045718829674802</v>
      </c>
      <c r="L50" s="2">
        <f t="shared" si="4"/>
        <v>-9.4700768342242073E-2</v>
      </c>
      <c r="M50" s="9" t="s">
        <v>54</v>
      </c>
      <c r="N50" s="8">
        <v>-0.15</v>
      </c>
      <c r="O50" s="6">
        <v>-0.1</v>
      </c>
      <c r="P50">
        <f>COUNTIF(G$2:G$42, "&gt;="&amp;N50) - COUNTIF(G3:G43,"&gt;"&amp;O50)</f>
        <v>1</v>
      </c>
      <c r="R50" s="6">
        <v>-0.1</v>
      </c>
      <c r="T50" s="10">
        <v>-0.15</v>
      </c>
      <c r="U50">
        <v>2</v>
      </c>
    </row>
    <row r="51" spans="1:21" x14ac:dyDescent="0.2">
      <c r="A51">
        <v>50</v>
      </c>
      <c r="B51" s="4">
        <v>45629</v>
      </c>
      <c r="C51">
        <v>47</v>
      </c>
      <c r="D51" s="1">
        <v>290.33</v>
      </c>
      <c r="E51" s="1">
        <v>313.61</v>
      </c>
      <c r="F51" s="1">
        <v>426.32</v>
      </c>
      <c r="G51" s="2">
        <f t="shared" si="15"/>
        <v>0.35939542744172692</v>
      </c>
      <c r="H51" s="2">
        <f t="shared" si="16"/>
        <v>-0.21949433368118496</v>
      </c>
      <c r="I51" s="2">
        <f t="shared" si="17"/>
        <v>-3.4782579716936213E-2</v>
      </c>
      <c r="K51" s="3">
        <f>K50</f>
        <v>-0.13045718829674802</v>
      </c>
      <c r="L51" s="2">
        <f>(K51)/(K46+1)</f>
        <v>-9.2001770934906246E-2</v>
      </c>
      <c r="M51" s="7" t="s">
        <v>55</v>
      </c>
      <c r="N51" s="8">
        <v>-0.1</v>
      </c>
      <c r="O51" s="6">
        <v>-0.05</v>
      </c>
      <c r="P51">
        <f t="shared" ref="P51:P57" si="18">COUNTIF(G$2:G$42, "&gt;="&amp;N51) - COUNTIF(G4:G44,"&gt;"&amp;O51)</f>
        <v>6</v>
      </c>
      <c r="R51" s="6">
        <v>-0.05</v>
      </c>
      <c r="T51" s="10">
        <v>-0.1</v>
      </c>
      <c r="U51">
        <v>1</v>
      </c>
    </row>
    <row r="52" spans="1:21" x14ac:dyDescent="0.2">
      <c r="A52">
        <v>51</v>
      </c>
      <c r="B52" s="4">
        <v>45630</v>
      </c>
      <c r="C52">
        <v>26</v>
      </c>
      <c r="D52" s="1">
        <v>306.55</v>
      </c>
      <c r="E52" s="1">
        <v>426.32</v>
      </c>
      <c r="F52" s="1">
        <v>462.86</v>
      </c>
      <c r="G52" s="2">
        <f t="shared" si="15"/>
        <v>8.5710264589979407E-2</v>
      </c>
      <c r="H52" s="2">
        <f t="shared" si="16"/>
        <v>-0.20036624974086106</v>
      </c>
      <c r="I52" s="2">
        <f t="shared" si="17"/>
        <v>-3.1438276271565258E-2</v>
      </c>
      <c r="J52" s="2">
        <f>98.54/1400</f>
        <v>7.0385714285714288E-2</v>
      </c>
      <c r="K52" s="2">
        <f>((1+1*K50)+(1*K50+1)*J52)-1</f>
        <v>-6.9253796393006217E-2</v>
      </c>
      <c r="L52" s="2">
        <f t="shared" si="4"/>
        <v>-5.1924573828785146E-2</v>
      </c>
      <c r="M52" s="7" t="s">
        <v>56</v>
      </c>
      <c r="N52" s="8">
        <v>-0.05</v>
      </c>
      <c r="O52" s="6">
        <v>0</v>
      </c>
      <c r="P52">
        <f t="shared" si="18"/>
        <v>4</v>
      </c>
      <c r="R52" s="6">
        <v>0</v>
      </c>
      <c r="T52" s="10">
        <v>-0.05</v>
      </c>
      <c r="U52">
        <v>6</v>
      </c>
    </row>
    <row r="53" spans="1:21" x14ac:dyDescent="0.2">
      <c r="A53">
        <v>52</v>
      </c>
      <c r="B53" s="4">
        <v>45631</v>
      </c>
      <c r="C53">
        <v>45</v>
      </c>
      <c r="D53" s="1">
        <v>428.08</v>
      </c>
      <c r="E53" s="1">
        <v>462.86</v>
      </c>
      <c r="F53" s="1">
        <v>521.80999999999995</v>
      </c>
      <c r="G53" s="2">
        <f t="shared" si="15"/>
        <v>0.12736032493626567</v>
      </c>
      <c r="H53" s="2">
        <f t="shared" ref="H53" si="19">(F53-E47)/E47</f>
        <v>-0.14742500490164046</v>
      </c>
      <c r="I53" s="2">
        <f t="shared" ref="I53" si="20">(F53/E47)^(1/7)-1</f>
        <v>-2.2527256934538831E-2</v>
      </c>
      <c r="J53" s="2">
        <f>90.86/1500</f>
        <v>6.0573333333333333E-2</v>
      </c>
      <c r="K53" s="2">
        <f>((1+1*K52)+(1*K52+1)*J53)-1</f>
        <v>-1.2875396353185242E-2</v>
      </c>
      <c r="L53" s="2">
        <f t="shared" si="4"/>
        <v>-8.9963659323564309E-3</v>
      </c>
      <c r="M53" s="7" t="s">
        <v>57</v>
      </c>
      <c r="N53" s="8">
        <v>0</v>
      </c>
      <c r="O53" s="6">
        <v>0.05</v>
      </c>
      <c r="P53">
        <f t="shared" si="18"/>
        <v>6</v>
      </c>
      <c r="R53" s="6">
        <v>0.05</v>
      </c>
      <c r="T53" s="10">
        <v>0</v>
      </c>
      <c r="U53">
        <v>5</v>
      </c>
    </row>
    <row r="54" spans="1:21" x14ac:dyDescent="0.2">
      <c r="A54">
        <v>53</v>
      </c>
      <c r="B54" s="4">
        <v>45632</v>
      </c>
      <c r="C54">
        <v>32</v>
      </c>
      <c r="D54" s="1">
        <v>467.5</v>
      </c>
      <c r="E54" s="1">
        <v>521.80999999999995</v>
      </c>
      <c r="F54" s="1">
        <v>437.53</v>
      </c>
      <c r="G54" s="2">
        <f t="shared" ref="G54:G55" si="21">(F54-E54)/E54</f>
        <v>-0.16151472758283664</v>
      </c>
      <c r="H54" s="2">
        <f t="shared" ref="H54:H55" si="22">(F54-E48)/E48</f>
        <v>-0.18927883190038539</v>
      </c>
      <c r="I54" s="2">
        <f t="shared" ref="I54:I55" si="23">(F54/E48)^(1/7)-1</f>
        <v>-2.9531050210796606E-2</v>
      </c>
      <c r="J54" s="2">
        <f>-114.06/1500</f>
        <v>-7.6039999999999996E-2</v>
      </c>
      <c r="K54" s="2">
        <f t="shared" ref="K54:K63" si="24">((1+1*K53)+(1*K53+1)*J54)-1</f>
        <v>-8.7936351214489061E-2</v>
      </c>
      <c r="L54" s="2">
        <f t="shared" si="4"/>
        <v>-7.4378019498621981E-2</v>
      </c>
      <c r="M54" s="7" t="s">
        <v>58</v>
      </c>
      <c r="N54" s="8">
        <v>0.05</v>
      </c>
      <c r="O54" s="6">
        <v>0.1</v>
      </c>
      <c r="P54">
        <f t="shared" si="18"/>
        <v>0</v>
      </c>
      <c r="R54" s="6">
        <v>0.1</v>
      </c>
      <c r="T54" s="10">
        <v>0.05</v>
      </c>
      <c r="U54">
        <v>9</v>
      </c>
    </row>
    <row r="55" spans="1:21" x14ac:dyDescent="0.2">
      <c r="A55">
        <v>54</v>
      </c>
      <c r="B55" s="4">
        <v>45633</v>
      </c>
      <c r="C55">
        <v>45</v>
      </c>
      <c r="D55" s="1">
        <v>348.98</v>
      </c>
      <c r="E55" s="1">
        <v>437.53</v>
      </c>
      <c r="F55" s="1">
        <v>433.76</v>
      </c>
      <c r="G55" s="2">
        <f t="shared" si="21"/>
        <v>-8.6165520078622763E-3</v>
      </c>
      <c r="H55" s="2">
        <f t="shared" si="22"/>
        <v>-0.21515551775924147</v>
      </c>
      <c r="I55" s="2">
        <f t="shared" si="23"/>
        <v>-3.4017881768831026E-2</v>
      </c>
      <c r="J55" s="2">
        <f>21.45/1500</f>
        <v>1.43E-2</v>
      </c>
      <c r="K55" s="2">
        <f t="shared" si="24"/>
        <v>-7.4893841036856257E-2</v>
      </c>
      <c r="L55" s="2">
        <f t="shared" si="4"/>
        <v>-8.6130136468099749E-2</v>
      </c>
      <c r="M55" s="7" t="s">
        <v>59</v>
      </c>
      <c r="N55" s="8">
        <v>0.1</v>
      </c>
      <c r="O55" s="6">
        <v>0.15</v>
      </c>
      <c r="P55">
        <f t="shared" si="18"/>
        <v>8</v>
      </c>
      <c r="R55" s="6">
        <v>0.15</v>
      </c>
      <c r="T55" s="10">
        <v>0.1</v>
      </c>
      <c r="U55">
        <v>1</v>
      </c>
    </row>
    <row r="56" spans="1:21" x14ac:dyDescent="0.2">
      <c r="A56">
        <v>55</v>
      </c>
      <c r="B56" s="4">
        <v>45634</v>
      </c>
      <c r="C56">
        <v>24</v>
      </c>
      <c r="D56" s="1">
        <v>397.56</v>
      </c>
      <c r="E56" s="1">
        <v>433.76</v>
      </c>
      <c r="F56" s="1">
        <v>527.75</v>
      </c>
      <c r="G56" s="2">
        <f t="shared" ref="G56" si="25">(F56-E56)/E56</f>
        <v>0.21668664699372928</v>
      </c>
      <c r="H56" s="2">
        <f t="shared" ref="H56" si="26">(F56-E50)/E50</f>
        <v>0.24083043355591086</v>
      </c>
      <c r="I56" s="2">
        <f t="shared" ref="I56:I57" si="27">(F56/E50)^(1/7)-1</f>
        <v>3.1305873059003897E-2</v>
      </c>
      <c r="J56" s="2">
        <f>180.4/1500</f>
        <v>0.12026666666666667</v>
      </c>
      <c r="K56" s="2">
        <f t="shared" si="24"/>
        <v>3.6365593014444419E-2</v>
      </c>
      <c r="L56" s="2">
        <f t="shared" si="4"/>
        <v>4.1821509562262785E-2</v>
      </c>
      <c r="M56" s="7" t="s">
        <v>60</v>
      </c>
      <c r="N56" s="8">
        <v>0.15</v>
      </c>
      <c r="O56" s="6">
        <v>0.2</v>
      </c>
      <c r="P56">
        <f t="shared" si="18"/>
        <v>4</v>
      </c>
      <c r="R56" s="6">
        <v>0.2</v>
      </c>
      <c r="T56" s="10">
        <v>0.15</v>
      </c>
      <c r="U56">
        <v>8</v>
      </c>
    </row>
    <row r="57" spans="1:21" x14ac:dyDescent="0.2">
      <c r="A57">
        <v>56</v>
      </c>
      <c r="B57" s="4">
        <v>45635</v>
      </c>
      <c r="C57">
        <v>17</v>
      </c>
      <c r="D57" s="1">
        <v>261.89999999999998</v>
      </c>
      <c r="E57" s="1">
        <v>527.75</v>
      </c>
      <c r="F57" s="1">
        <v>514.51</v>
      </c>
      <c r="G57" s="2">
        <f t="shared" ref="G57" si="28">(F57-E57)/E57</f>
        <v>-2.508763619137851E-2</v>
      </c>
      <c r="H57" s="2">
        <f t="shared" ref="H57" si="29">(F57-E51)/E51</f>
        <v>0.64060457255827297</v>
      </c>
      <c r="I57" s="2">
        <f t="shared" si="27"/>
        <v>7.3284470100864141E-2</v>
      </c>
      <c r="J57" s="2">
        <f>-155.44/1700</f>
        <v>-9.1435294117647059E-2</v>
      </c>
      <c r="K57" s="2">
        <f t="shared" si="24"/>
        <v>-5.839479979624107E-2</v>
      </c>
      <c r="L57" s="2">
        <f t="shared" si="4"/>
        <v>-6.2739766834330482E-2</v>
      </c>
      <c r="M57" s="7" t="s">
        <v>61</v>
      </c>
      <c r="N57" s="8">
        <v>0.2</v>
      </c>
      <c r="O57" s="6">
        <v>0.25</v>
      </c>
      <c r="P57">
        <f t="shared" si="18"/>
        <v>4</v>
      </c>
      <c r="R57" s="6">
        <v>0.25</v>
      </c>
      <c r="T57" s="10">
        <v>0.2</v>
      </c>
      <c r="U57">
        <v>4</v>
      </c>
    </row>
    <row r="58" spans="1:21" x14ac:dyDescent="0.2">
      <c r="A58">
        <v>57</v>
      </c>
      <c r="B58" s="4">
        <v>45636</v>
      </c>
      <c r="C58">
        <v>39</v>
      </c>
      <c r="D58" s="1">
        <v>383.16</v>
      </c>
      <c r="E58" s="1">
        <v>514.51</v>
      </c>
      <c r="F58" s="1">
        <v>572.30999999999995</v>
      </c>
      <c r="G58" s="2">
        <f t="shared" ref="G58" si="30">(F58-E58)/E58</f>
        <v>0.1123398962119297</v>
      </c>
      <c r="H58" s="2">
        <f t="shared" ref="H58" si="31">(F58-E52)/E52</f>
        <v>0.3424422968662037</v>
      </c>
      <c r="I58" s="2">
        <f t="shared" ref="I58" si="32">(F58/E52)^(1/7)-1</f>
        <v>4.2967568046231808E-2</v>
      </c>
      <c r="J58" s="2">
        <f>176.24/1550</f>
        <v>0.11370322580645162</v>
      </c>
      <c r="K58" s="2">
        <f t="shared" si="24"/>
        <v>4.8668748903055947E-2</v>
      </c>
      <c r="L58" s="2">
        <f t="shared" si="4"/>
        <v>4.9303551672458604E-2</v>
      </c>
      <c r="M58" s="7" t="s">
        <v>62</v>
      </c>
      <c r="N58" s="8">
        <v>0.25</v>
      </c>
      <c r="O58" s="6">
        <v>0.3</v>
      </c>
      <c r="P58">
        <f>COUNTIF(G$2:G$42, "&gt;="&amp;N58) - COUNTIF(G11:G52,"&gt;"&amp;O58)</f>
        <v>-1</v>
      </c>
      <c r="R58" s="6">
        <v>0.3</v>
      </c>
      <c r="T58" s="10">
        <v>0.25</v>
      </c>
      <c r="U58">
        <v>4</v>
      </c>
    </row>
    <row r="59" spans="1:21" x14ac:dyDescent="0.2">
      <c r="A59">
        <v>58</v>
      </c>
      <c r="B59" s="4">
        <v>45637</v>
      </c>
      <c r="C59">
        <v>16</v>
      </c>
      <c r="D59" s="1">
        <v>211.07</v>
      </c>
      <c r="E59" s="1">
        <v>572.30999999999995</v>
      </c>
      <c r="F59" s="1">
        <v>581.78</v>
      </c>
      <c r="G59" s="2">
        <f t="shared" ref="G59" si="33">(F59-E59)/E59</f>
        <v>1.6546976289074151E-2</v>
      </c>
      <c r="H59" s="2">
        <f t="shared" ref="H59" si="34">(F59-E53)/E53</f>
        <v>0.25692433997320996</v>
      </c>
      <c r="I59" s="2">
        <f t="shared" ref="I59" si="35">(F59/E53)^(1/7)-1</f>
        <v>3.320623776717091E-2</v>
      </c>
      <c r="J59" s="2">
        <f>108.21/1700</f>
        <v>6.3652941176470579E-2</v>
      </c>
      <c r="K59" s="2">
        <f t="shared" si="24"/>
        <v>0.11541959909058508</v>
      </c>
      <c r="L59" s="2">
        <f t="shared" si="4"/>
        <v>0.12654774614060754</v>
      </c>
      <c r="T59" s="10">
        <v>0.3</v>
      </c>
      <c r="U59">
        <v>0</v>
      </c>
    </row>
    <row r="60" spans="1:21" ht="17" thickBot="1" x14ac:dyDescent="0.25">
      <c r="A60">
        <v>59</v>
      </c>
      <c r="B60" s="4">
        <v>45638</v>
      </c>
      <c r="C60">
        <v>40</v>
      </c>
      <c r="D60" s="1">
        <v>385.17</v>
      </c>
      <c r="E60" s="1">
        <v>581.78</v>
      </c>
      <c r="F60" s="1">
        <v>632.69000000000005</v>
      </c>
      <c r="G60" s="2">
        <f t="shared" ref="G60" si="36">(F60-E60)/E60</f>
        <v>8.7507305166901722E-2</v>
      </c>
      <c r="H60" s="2">
        <f t="shared" ref="H60" si="37">(F60-E54)/E54</f>
        <v>0.21249113662060926</v>
      </c>
      <c r="I60" s="2">
        <f t="shared" ref="I60" si="38">(F60/E54)^(1/7)-1</f>
        <v>2.7907611119893705E-2</v>
      </c>
      <c r="J60" s="2">
        <f>-28.05/1850</f>
        <v>-1.5162162162162162E-2</v>
      </c>
      <c r="K60" s="2">
        <f t="shared" si="24"/>
        <v>9.8507426250319829E-2</v>
      </c>
      <c r="L60" s="2">
        <f t="shared" si="4"/>
        <v>0.10648229427066691</v>
      </c>
      <c r="T60" s="11" t="s">
        <v>64</v>
      </c>
      <c r="U60" s="11">
        <v>1</v>
      </c>
    </row>
    <row r="61" spans="1:21" x14ac:dyDescent="0.2">
      <c r="A61">
        <v>60</v>
      </c>
      <c r="B61" s="4">
        <v>45639</v>
      </c>
      <c r="C61">
        <v>9</v>
      </c>
      <c r="D61" s="1">
        <v>97.23</v>
      </c>
      <c r="E61" s="1">
        <v>632.69000000000005</v>
      </c>
      <c r="F61" s="1">
        <v>578.44000000000005</v>
      </c>
      <c r="G61" s="2">
        <f t="shared" ref="G61:G62" si="39">(F61-E61)/E61</f>
        <v>-8.5744993598760838E-2</v>
      </c>
      <c r="H61" s="2">
        <f t="shared" ref="H61:H62" si="40">(F61-E55)/E55</f>
        <v>0.32205791602861539</v>
      </c>
      <c r="I61" s="2">
        <f t="shared" ref="I61:I62" si="41">(F61/E55)^(1/7)-1</f>
        <v>4.0690277564282784E-2</v>
      </c>
      <c r="J61" s="2">
        <f>-132.11/1850</f>
        <v>-7.1410810810810812E-2</v>
      </c>
      <c r="K61" s="2">
        <f t="shared" si="24"/>
        <v>2.0062120260087468E-2</v>
      </c>
      <c r="L61" s="2">
        <f t="shared" si="4"/>
        <v>1.9358149667757112E-2</v>
      </c>
    </row>
    <row r="62" spans="1:21" x14ac:dyDescent="0.2">
      <c r="A62">
        <v>61</v>
      </c>
      <c r="B62" s="4">
        <v>45640</v>
      </c>
      <c r="C62">
        <v>39</v>
      </c>
      <c r="D62" s="1">
        <v>341.97</v>
      </c>
      <c r="E62" s="1">
        <v>578.44000000000005</v>
      </c>
      <c r="F62" s="1">
        <v>572.49</v>
      </c>
      <c r="G62" s="2">
        <f t="shared" si="39"/>
        <v>-1.0286287255376607E-2</v>
      </c>
      <c r="H62" s="2">
        <f t="shared" si="40"/>
        <v>0.31983124308373301</v>
      </c>
      <c r="I62" s="2">
        <f t="shared" si="41"/>
        <v>4.0439699468163948E-2</v>
      </c>
      <c r="J62" s="2">
        <f>-18.81/1700</f>
        <v>-1.106470588235294E-2</v>
      </c>
      <c r="K62" s="2">
        <f t="shared" si="24"/>
        <v>8.7754329176803481E-3</v>
      </c>
      <c r="L62" s="2">
        <f t="shared" si="4"/>
        <v>9.3196521384773419E-3</v>
      </c>
    </row>
    <row r="63" spans="1:21" x14ac:dyDescent="0.2">
      <c r="A63">
        <v>62</v>
      </c>
      <c r="B63" s="4">
        <v>45641</v>
      </c>
      <c r="C63">
        <v>26</v>
      </c>
      <c r="D63" s="1">
        <v>480.14</v>
      </c>
      <c r="E63" s="1">
        <v>572.49</v>
      </c>
      <c r="F63" s="1">
        <v>620.33000000000004</v>
      </c>
      <c r="G63" s="2">
        <f t="shared" ref="G63" si="42">(F63-E63)/E63</f>
        <v>8.3564778424077335E-2</v>
      </c>
      <c r="H63" s="2">
        <f t="shared" ref="H63" si="43">(F63-E57)/E57</f>
        <v>0.17542396968261495</v>
      </c>
      <c r="I63" s="2">
        <f t="shared" ref="I63" si="44">(F63/E57)^(1/7)-1</f>
        <v>2.3358478003468797E-2</v>
      </c>
      <c r="J63" s="2">
        <f>113.58/1650</f>
        <v>6.883636363636364E-2</v>
      </c>
      <c r="K63" s="2">
        <f t="shared" si="24"/>
        <v>7.8215865445431909E-2</v>
      </c>
      <c r="L63" s="2">
        <f t="shared" si="4"/>
        <v>7.4585864723487216E-2</v>
      </c>
    </row>
    <row r="64" spans="1:21" x14ac:dyDescent="0.2">
      <c r="A64">
        <v>63</v>
      </c>
      <c r="B64" s="4">
        <v>45642</v>
      </c>
      <c r="C64">
        <v>18</v>
      </c>
      <c r="D64" s="1">
        <v>402.79</v>
      </c>
      <c r="E64" s="1">
        <v>620.33000000000004</v>
      </c>
      <c r="F64" s="1">
        <v>663.7</v>
      </c>
      <c r="G64" s="2">
        <f t="shared" ref="G64" si="45">(F64-E64)/E64</f>
        <v>6.9914400399787219E-2</v>
      </c>
      <c r="H64" s="2">
        <f t="shared" ref="H64" si="46">(F64-E58)/E58</f>
        <v>0.28996520961691719</v>
      </c>
      <c r="I64" s="2">
        <f t="shared" ref="I64" si="47">(F64/E58)^(1/7)-1</f>
        <v>3.7043220688742107E-2</v>
      </c>
      <c r="J64" s="2">
        <f>-55/1750</f>
        <v>-3.1428571428571431E-2</v>
      </c>
      <c r="K64" s="2">
        <f t="shared" ref="K64" si="48">((1+1*K63)+(1*K63+1)*J64)-1</f>
        <v>4.4329081102861156E-2</v>
      </c>
      <c r="L64" s="2">
        <f t="shared" ref="L64" si="49">(K64)/(K59+1)</f>
        <v>3.9742067594117213E-2</v>
      </c>
    </row>
    <row r="65" spans="1:12" x14ac:dyDescent="0.2">
      <c r="A65">
        <v>64</v>
      </c>
      <c r="B65" s="4">
        <v>45643</v>
      </c>
      <c r="D65" s="1"/>
      <c r="E65" s="1"/>
      <c r="F65" s="1"/>
      <c r="J65" s="2">
        <f>105/1800</f>
        <v>5.8333333333333334E-2</v>
      </c>
      <c r="K65" s="2">
        <f t="shared" ref="K65" si="50">((1+1*K64)+(1*K64+1)*J65)-1</f>
        <v>0.10524827750052812</v>
      </c>
      <c r="L65" s="2">
        <f t="shared" ref="L65" si="51">(K65)/(K60+1)</f>
        <v>9.5810255793887467E-2</v>
      </c>
    </row>
    <row r="66" spans="1:12" x14ac:dyDescent="0.2">
      <c r="A66">
        <v>65</v>
      </c>
      <c r="B66" s="4">
        <v>45644</v>
      </c>
      <c r="D66" s="1"/>
      <c r="E66" s="1"/>
      <c r="F66" s="1"/>
      <c r="J66" s="2">
        <f>-183/1800</f>
        <v>-0.10166666666666667</v>
      </c>
      <c r="K66" s="2">
        <f t="shared" ref="K66" si="52">((1+1*K65)+(1*K65+1)*J66)-1</f>
        <v>-7.1186307120255643E-3</v>
      </c>
      <c r="L66" s="2">
        <f t="shared" ref="L66" si="53">(K66)/(K61+1)</f>
        <v>-6.9786247039646089E-3</v>
      </c>
    </row>
    <row r="67" spans="1:12" x14ac:dyDescent="0.2">
      <c r="D67" s="1"/>
      <c r="E67" s="1"/>
      <c r="F67" s="1"/>
      <c r="J67">
        <f>-57.2/1600</f>
        <v>-3.5750000000000004E-2</v>
      </c>
    </row>
    <row r="68" spans="1:12" x14ac:dyDescent="0.2">
      <c r="D68" s="1"/>
      <c r="E68" s="1"/>
      <c r="F68" s="1"/>
    </row>
    <row r="69" spans="1:12" x14ac:dyDescent="0.2">
      <c r="D69" s="1"/>
      <c r="E69" s="1"/>
      <c r="F69" s="1"/>
    </row>
    <row r="70" spans="1:12" x14ac:dyDescent="0.2">
      <c r="D70" s="1"/>
      <c r="E70" s="1"/>
      <c r="F70" s="1"/>
    </row>
    <row r="71" spans="1:12" x14ac:dyDescent="0.2">
      <c r="D71" s="1"/>
      <c r="E71" s="1"/>
      <c r="F71" s="1"/>
    </row>
    <row r="72" spans="1:12" x14ac:dyDescent="0.2">
      <c r="D72" s="1"/>
      <c r="E72" s="1"/>
      <c r="F72" s="1"/>
    </row>
    <row r="73" spans="1:12" x14ac:dyDescent="0.2">
      <c r="D73" s="1"/>
      <c r="E73" s="1"/>
      <c r="F73" s="1"/>
    </row>
  </sheetData>
  <sortState xmlns:xlrd2="http://schemas.microsoft.com/office/spreadsheetml/2017/richdata2" ref="T50:T59">
    <sortCondition ref="T50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AE54-6509-D749-B3A4-7974E933FC65}">
  <dimension ref="A1:K65"/>
  <sheetViews>
    <sheetView topLeftCell="A50" workbookViewId="0">
      <selection activeCell="J78" sqref="J78"/>
    </sheetView>
  </sheetViews>
  <sheetFormatPr baseColWidth="10" defaultRowHeight="16" x14ac:dyDescent="0.2"/>
  <sheetData>
    <row r="1" spans="1:11" x14ac:dyDescent="0.2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45</v>
      </c>
      <c r="J1" t="s">
        <v>35</v>
      </c>
    </row>
    <row r="2" spans="1:11" x14ac:dyDescent="0.2">
      <c r="A2">
        <v>1</v>
      </c>
      <c r="B2" t="s">
        <v>0</v>
      </c>
      <c r="C2">
        <v>24</v>
      </c>
      <c r="D2" s="1">
        <v>65.150000000000006</v>
      </c>
      <c r="E2" s="1">
        <v>100</v>
      </c>
      <c r="F2" s="1">
        <v>90.36</v>
      </c>
      <c r="G2" s="2">
        <f>(F2-E2)/E2</f>
        <v>-9.64E-2</v>
      </c>
      <c r="H2" s="2"/>
      <c r="J2" t="s">
        <v>36</v>
      </c>
      <c r="K2" s="3">
        <f>AVERAGE(G2:G63)</f>
        <v>3.3239458144445143E-2</v>
      </c>
    </row>
    <row r="3" spans="1:11" x14ac:dyDescent="0.2">
      <c r="A3">
        <v>2</v>
      </c>
      <c r="B3" t="s">
        <v>1</v>
      </c>
      <c r="C3">
        <v>45</v>
      </c>
      <c r="D3" s="1">
        <v>76.2</v>
      </c>
      <c r="E3" s="1">
        <v>90.36</v>
      </c>
      <c r="F3" s="1">
        <v>89.96</v>
      </c>
      <c r="G3" s="2">
        <f t="shared" ref="G3:G63" si="0">(F3-E3)/E3</f>
        <v>-4.4267374944666413E-3</v>
      </c>
      <c r="H3" s="2"/>
      <c r="J3" t="s">
        <v>39</v>
      </c>
      <c r="K3" s="2">
        <f>(F63/E2)^(1/A63)-1</f>
        <v>2.4799857825987814E-2</v>
      </c>
    </row>
    <row r="4" spans="1:11" x14ac:dyDescent="0.2">
      <c r="A4">
        <v>3</v>
      </c>
      <c r="B4" t="s">
        <v>2</v>
      </c>
      <c r="C4">
        <v>22</v>
      </c>
      <c r="D4" s="1">
        <v>75.709999999999994</v>
      </c>
      <c r="E4" s="1">
        <v>89.96</v>
      </c>
      <c r="F4" s="1">
        <v>81.03</v>
      </c>
      <c r="G4" s="2">
        <f t="shared" si="0"/>
        <v>-9.926634059582029E-2</v>
      </c>
      <c r="H4" s="2"/>
    </row>
    <row r="5" spans="1:11" x14ac:dyDescent="0.2">
      <c r="A5">
        <v>4</v>
      </c>
      <c r="B5" t="s">
        <v>3</v>
      </c>
      <c r="C5">
        <v>45</v>
      </c>
      <c r="D5" s="1">
        <v>66.3</v>
      </c>
      <c r="E5" s="1">
        <v>81.03</v>
      </c>
      <c r="F5" s="1">
        <v>83.91</v>
      </c>
      <c r="G5" s="2">
        <f t="shared" si="0"/>
        <v>3.5542391706775214E-2</v>
      </c>
      <c r="H5" s="2"/>
    </row>
    <row r="6" spans="1:11" x14ac:dyDescent="0.2">
      <c r="A6">
        <v>5</v>
      </c>
      <c r="B6" t="s">
        <v>4</v>
      </c>
      <c r="C6">
        <v>24</v>
      </c>
      <c r="D6" s="1">
        <v>75.03</v>
      </c>
      <c r="E6" s="1">
        <v>83.91</v>
      </c>
      <c r="F6" s="1">
        <v>69.38</v>
      </c>
      <c r="G6" s="2">
        <f t="shared" si="0"/>
        <v>-0.17316172089143131</v>
      </c>
      <c r="H6" s="2"/>
    </row>
    <row r="7" spans="1:11" x14ac:dyDescent="0.2">
      <c r="A7">
        <v>6</v>
      </c>
      <c r="B7" t="s">
        <v>5</v>
      </c>
      <c r="C7">
        <v>45</v>
      </c>
      <c r="D7" s="1">
        <v>51.69</v>
      </c>
      <c r="E7" s="1">
        <v>69.38</v>
      </c>
      <c r="F7" s="1">
        <v>66.83</v>
      </c>
      <c r="G7" s="2">
        <f t="shared" si="0"/>
        <v>-3.6754107812049547E-2</v>
      </c>
      <c r="H7" s="2"/>
    </row>
    <row r="8" spans="1:11" x14ac:dyDescent="0.2">
      <c r="A8">
        <v>7</v>
      </c>
      <c r="B8" t="s">
        <v>6</v>
      </c>
      <c r="C8">
        <v>5</v>
      </c>
      <c r="D8" s="1">
        <v>10.79</v>
      </c>
      <c r="E8" s="1">
        <v>66.83</v>
      </c>
      <c r="F8" s="1">
        <v>76.41</v>
      </c>
      <c r="G8" s="2">
        <f t="shared" si="0"/>
        <v>0.14334879545114468</v>
      </c>
      <c r="H8" s="2">
        <f>(F8-E2)/E2</f>
        <v>-0.23590000000000003</v>
      </c>
    </row>
    <row r="9" spans="1:11" x14ac:dyDescent="0.2">
      <c r="A9">
        <v>8</v>
      </c>
      <c r="B9" t="s">
        <v>7</v>
      </c>
      <c r="C9">
        <v>7</v>
      </c>
      <c r="D9" s="1">
        <v>17.71</v>
      </c>
      <c r="E9" s="1">
        <v>76.41</v>
      </c>
      <c r="F9" s="1">
        <v>82.24</v>
      </c>
      <c r="G9" s="2">
        <f t="shared" si="0"/>
        <v>7.6298913754744124E-2</v>
      </c>
      <c r="H9" s="2">
        <f>(F9-E3)/E3</f>
        <v>-8.986277113767159E-2</v>
      </c>
    </row>
    <row r="10" spans="1:11" x14ac:dyDescent="0.2">
      <c r="A10">
        <v>9</v>
      </c>
      <c r="B10" t="s">
        <v>8</v>
      </c>
      <c r="C10">
        <v>39</v>
      </c>
      <c r="D10" s="1">
        <v>48.56</v>
      </c>
      <c r="E10" s="1">
        <v>82.24</v>
      </c>
      <c r="F10" s="1">
        <v>77.400000000000006</v>
      </c>
      <c r="G10" s="2">
        <f t="shared" si="0"/>
        <v>-5.8852140077820886E-2</v>
      </c>
      <c r="H10" s="2">
        <f t="shared" ref="H10:H45" si="1">(F10-E4)/E4</f>
        <v>-0.13961760782570018</v>
      </c>
    </row>
    <row r="11" spans="1:11" x14ac:dyDescent="0.2">
      <c r="A11">
        <v>10</v>
      </c>
      <c r="B11" t="s">
        <v>9</v>
      </c>
      <c r="C11">
        <v>6</v>
      </c>
      <c r="D11" s="1">
        <v>14.84</v>
      </c>
      <c r="E11" s="1">
        <v>77.400000000000006</v>
      </c>
      <c r="F11" s="1">
        <v>74.569999999999993</v>
      </c>
      <c r="G11" s="2">
        <f t="shared" si="0"/>
        <v>-3.6563307493540212E-2</v>
      </c>
      <c r="H11" s="2">
        <f t="shared" si="1"/>
        <v>-7.9723559175614064E-2</v>
      </c>
    </row>
    <row r="12" spans="1:11" x14ac:dyDescent="0.2">
      <c r="A12">
        <v>11</v>
      </c>
      <c r="B12" t="s">
        <v>10</v>
      </c>
      <c r="C12">
        <v>37</v>
      </c>
      <c r="D12" s="1">
        <v>67.13</v>
      </c>
      <c r="E12" s="1">
        <v>74.569999999999993</v>
      </c>
      <c r="F12" s="1">
        <v>87.2</v>
      </c>
      <c r="G12" s="2">
        <f t="shared" si="0"/>
        <v>0.16937106074829034</v>
      </c>
      <c r="H12" s="2">
        <f t="shared" si="1"/>
        <v>3.9208675962340678E-2</v>
      </c>
    </row>
    <row r="13" spans="1:11" x14ac:dyDescent="0.2">
      <c r="A13">
        <v>12</v>
      </c>
      <c r="B13" t="s">
        <v>11</v>
      </c>
      <c r="C13">
        <v>18</v>
      </c>
      <c r="D13" s="1">
        <v>41.94</v>
      </c>
      <c r="E13" s="1">
        <v>87.2</v>
      </c>
      <c r="F13" s="1">
        <v>103.86</v>
      </c>
      <c r="G13" s="2">
        <f t="shared" si="0"/>
        <v>0.19105504587155958</v>
      </c>
      <c r="H13" s="2">
        <f t="shared" si="1"/>
        <v>0.49697319112136074</v>
      </c>
    </row>
    <row r="14" spans="1:11" x14ac:dyDescent="0.2">
      <c r="A14">
        <v>13</v>
      </c>
      <c r="B14" t="s">
        <v>12</v>
      </c>
      <c r="C14">
        <v>45</v>
      </c>
      <c r="D14" s="1">
        <v>85.29</v>
      </c>
      <c r="E14" s="1">
        <v>103.86</v>
      </c>
      <c r="F14" s="1">
        <v>114.54</v>
      </c>
      <c r="G14" s="2">
        <f t="shared" si="0"/>
        <v>0.10283073367995385</v>
      </c>
      <c r="H14" s="2">
        <f t="shared" si="1"/>
        <v>0.7139009426904086</v>
      </c>
    </row>
    <row r="15" spans="1:11" x14ac:dyDescent="0.2">
      <c r="A15">
        <v>14</v>
      </c>
      <c r="B15" t="s">
        <v>13</v>
      </c>
      <c r="C15">
        <v>29</v>
      </c>
      <c r="D15" s="1">
        <v>100.07</v>
      </c>
      <c r="E15" s="1">
        <v>114.54</v>
      </c>
      <c r="F15" s="1">
        <v>120.01</v>
      </c>
      <c r="G15" s="2">
        <f t="shared" si="0"/>
        <v>4.7756242360747325E-2</v>
      </c>
      <c r="H15" s="2">
        <f t="shared" si="1"/>
        <v>0.57060594163067679</v>
      </c>
    </row>
    <row r="16" spans="1:11" x14ac:dyDescent="0.2">
      <c r="A16">
        <v>15</v>
      </c>
      <c r="B16" t="s">
        <v>14</v>
      </c>
      <c r="C16">
        <v>39</v>
      </c>
      <c r="D16" s="1">
        <v>105.47</v>
      </c>
      <c r="E16" s="1">
        <v>120.01</v>
      </c>
      <c r="F16" s="1">
        <v>158.36000000000001</v>
      </c>
      <c r="G16" s="2">
        <f t="shared" si="0"/>
        <v>0.31955670360803273</v>
      </c>
      <c r="H16" s="2">
        <f t="shared" si="1"/>
        <v>0.9255836575875489</v>
      </c>
    </row>
    <row r="17" spans="1:8" x14ac:dyDescent="0.2">
      <c r="A17">
        <v>16</v>
      </c>
      <c r="B17" t="s">
        <v>15</v>
      </c>
      <c r="C17">
        <v>26</v>
      </c>
      <c r="D17" s="1">
        <v>153.62</v>
      </c>
      <c r="E17" s="1">
        <v>158.36000000000001</v>
      </c>
      <c r="F17" s="1">
        <v>187.34</v>
      </c>
      <c r="G17" s="2">
        <f t="shared" si="0"/>
        <v>0.18300075776711283</v>
      </c>
      <c r="H17" s="2">
        <f t="shared" si="1"/>
        <v>1.4204134366925063</v>
      </c>
    </row>
    <row r="18" spans="1:8" x14ac:dyDescent="0.2">
      <c r="A18">
        <v>17</v>
      </c>
      <c r="B18" t="s">
        <v>16</v>
      </c>
      <c r="C18">
        <v>45</v>
      </c>
      <c r="D18" s="1">
        <v>179.64</v>
      </c>
      <c r="E18" s="1">
        <v>187.34</v>
      </c>
      <c r="F18" s="1">
        <v>187.38</v>
      </c>
      <c r="G18" s="2">
        <f t="shared" si="0"/>
        <v>2.1351553325500182E-4</v>
      </c>
      <c r="H18" s="2">
        <f t="shared" si="1"/>
        <v>1.5128067587501679</v>
      </c>
    </row>
    <row r="19" spans="1:8" x14ac:dyDescent="0.2">
      <c r="A19">
        <v>18</v>
      </c>
      <c r="B19" t="s">
        <v>17</v>
      </c>
      <c r="C19">
        <v>39</v>
      </c>
      <c r="D19" s="1">
        <v>176.51</v>
      </c>
      <c r="E19" s="1">
        <v>187.38</v>
      </c>
      <c r="F19" s="1">
        <v>196</v>
      </c>
      <c r="G19" s="2">
        <f t="shared" si="0"/>
        <v>4.6002775109403378E-2</v>
      </c>
      <c r="H19" s="2">
        <f t="shared" si="1"/>
        <v>1.2477064220183485</v>
      </c>
    </row>
    <row r="20" spans="1:8" x14ac:dyDescent="0.2">
      <c r="A20">
        <v>19</v>
      </c>
      <c r="B20" t="s">
        <v>18</v>
      </c>
      <c r="C20">
        <v>40</v>
      </c>
      <c r="D20" s="1">
        <v>189.12</v>
      </c>
      <c r="E20" s="1">
        <v>196</v>
      </c>
      <c r="F20" s="1">
        <v>178</v>
      </c>
      <c r="G20" s="2">
        <f t="shared" si="0"/>
        <v>-9.1836734693877556E-2</v>
      </c>
      <c r="H20" s="2">
        <f t="shared" si="1"/>
        <v>0.71384556133256305</v>
      </c>
    </row>
    <row r="21" spans="1:8" x14ac:dyDescent="0.2">
      <c r="A21">
        <v>20</v>
      </c>
      <c r="B21" t="s">
        <v>19</v>
      </c>
      <c r="C21">
        <v>42</v>
      </c>
      <c r="D21" s="1">
        <v>142.13999999999999</v>
      </c>
      <c r="E21" s="1">
        <v>178</v>
      </c>
      <c r="F21" s="1">
        <v>167.39</v>
      </c>
      <c r="G21" s="2">
        <f t="shared" si="0"/>
        <v>-5.9606741573033785E-2</v>
      </c>
      <c r="H21" s="2">
        <f t="shared" si="1"/>
        <v>0.46141086083464272</v>
      </c>
    </row>
    <row r="22" spans="1:8" x14ac:dyDescent="0.2">
      <c r="A22">
        <v>21</v>
      </c>
      <c r="B22" t="s">
        <v>20</v>
      </c>
      <c r="C22">
        <v>24</v>
      </c>
      <c r="D22" s="1">
        <v>141.43</v>
      </c>
      <c r="E22" s="1">
        <v>167.39</v>
      </c>
      <c r="F22" s="1">
        <v>198.95</v>
      </c>
      <c r="G22" s="2">
        <f t="shared" si="0"/>
        <v>0.18854172889658882</v>
      </c>
      <c r="H22" s="2">
        <f t="shared" si="1"/>
        <v>0.65777851845679514</v>
      </c>
    </row>
    <row r="23" spans="1:8" x14ac:dyDescent="0.2">
      <c r="A23">
        <v>22</v>
      </c>
      <c r="B23" t="s">
        <v>21</v>
      </c>
      <c r="C23">
        <v>12</v>
      </c>
      <c r="D23" s="1">
        <v>68.63</v>
      </c>
      <c r="E23" s="1">
        <v>198.95</v>
      </c>
      <c r="F23" s="1">
        <v>205.42</v>
      </c>
      <c r="G23" s="2">
        <f t="shared" si="0"/>
        <v>3.2520733852726809E-2</v>
      </c>
      <c r="H23" s="2">
        <f t="shared" si="1"/>
        <v>0.29717100277847924</v>
      </c>
    </row>
    <row r="24" spans="1:8" x14ac:dyDescent="0.2">
      <c r="A24">
        <v>23</v>
      </c>
      <c r="B24" t="s">
        <v>22</v>
      </c>
      <c r="C24">
        <v>44</v>
      </c>
      <c r="D24" s="1">
        <v>159.41</v>
      </c>
      <c r="E24" s="1">
        <v>205.42</v>
      </c>
      <c r="F24" s="1">
        <v>208.79</v>
      </c>
      <c r="G24" s="2">
        <f t="shared" si="0"/>
        <v>1.6405413299581367E-2</v>
      </c>
      <c r="H24" s="2">
        <f t="shared" si="1"/>
        <v>0.11449770470801744</v>
      </c>
    </row>
    <row r="25" spans="1:8" x14ac:dyDescent="0.2">
      <c r="A25">
        <v>24</v>
      </c>
      <c r="B25" t="s">
        <v>23</v>
      </c>
      <c r="C25">
        <v>19</v>
      </c>
      <c r="D25" s="1">
        <v>110.52</v>
      </c>
      <c r="E25" s="1">
        <v>208.79</v>
      </c>
      <c r="F25" s="1">
        <v>226.45</v>
      </c>
      <c r="G25" s="2">
        <f t="shared" si="0"/>
        <v>8.45825949518655E-2</v>
      </c>
      <c r="H25" s="2">
        <f t="shared" si="1"/>
        <v>0.20850677767104278</v>
      </c>
    </row>
    <row r="26" spans="1:8" x14ac:dyDescent="0.2">
      <c r="A26">
        <v>25</v>
      </c>
      <c r="B26" t="s">
        <v>24</v>
      </c>
      <c r="C26">
        <v>45</v>
      </c>
      <c r="D26" s="1">
        <v>165.65</v>
      </c>
      <c r="E26" s="1">
        <v>226.45</v>
      </c>
      <c r="F26" s="1">
        <v>271.98</v>
      </c>
      <c r="G26" s="2">
        <f t="shared" si="0"/>
        <v>0.201059836608523</v>
      </c>
      <c r="H26" s="2">
        <f t="shared" si="1"/>
        <v>0.38765306122448989</v>
      </c>
    </row>
    <row r="27" spans="1:8" x14ac:dyDescent="0.2">
      <c r="A27">
        <v>26</v>
      </c>
      <c r="B27" t="s">
        <v>25</v>
      </c>
      <c r="C27">
        <v>21</v>
      </c>
      <c r="D27" s="1">
        <v>166.48</v>
      </c>
      <c r="E27" s="1">
        <v>271.98</v>
      </c>
      <c r="F27" s="1">
        <v>316.93</v>
      </c>
      <c r="G27" s="2">
        <f t="shared" si="0"/>
        <v>0.16526950511066985</v>
      </c>
      <c r="H27" s="2">
        <f t="shared" si="1"/>
        <v>0.78050561797752815</v>
      </c>
    </row>
    <row r="28" spans="1:8" x14ac:dyDescent="0.2">
      <c r="A28">
        <v>27</v>
      </c>
      <c r="B28" t="s">
        <v>26</v>
      </c>
      <c r="C28">
        <v>44</v>
      </c>
      <c r="D28" s="1">
        <v>255.9</v>
      </c>
      <c r="E28" s="1">
        <v>316.93</v>
      </c>
      <c r="F28" s="1">
        <v>356.13</v>
      </c>
      <c r="G28" s="2">
        <f t="shared" si="0"/>
        <v>0.12368661849619786</v>
      </c>
      <c r="H28" s="2">
        <f t="shared" si="1"/>
        <v>1.127546448413884</v>
      </c>
    </row>
    <row r="29" spans="1:8" x14ac:dyDescent="0.2">
      <c r="A29">
        <v>28</v>
      </c>
      <c r="B29" t="s">
        <v>27</v>
      </c>
      <c r="C29">
        <v>23</v>
      </c>
      <c r="D29" s="1">
        <v>235.68</v>
      </c>
      <c r="E29" s="1">
        <v>356.13</v>
      </c>
      <c r="F29" s="1">
        <v>285</v>
      </c>
      <c r="G29" s="2">
        <f t="shared" si="0"/>
        <v>-0.19973043551512087</v>
      </c>
      <c r="H29" s="2">
        <f t="shared" si="1"/>
        <v>0.43252073385272688</v>
      </c>
    </row>
    <row r="30" spans="1:8" x14ac:dyDescent="0.2">
      <c r="A30">
        <v>29</v>
      </c>
      <c r="B30" t="s">
        <v>28</v>
      </c>
      <c r="C30">
        <v>23</v>
      </c>
      <c r="D30" s="1">
        <v>243.84</v>
      </c>
      <c r="E30" s="1">
        <v>285</v>
      </c>
      <c r="F30" s="1">
        <v>336.17</v>
      </c>
      <c r="G30" s="2">
        <f t="shared" si="0"/>
        <v>0.17954385964912287</v>
      </c>
      <c r="H30" s="2">
        <f t="shared" si="1"/>
        <v>0.63650082757277793</v>
      </c>
    </row>
    <row r="31" spans="1:8" x14ac:dyDescent="0.2">
      <c r="A31">
        <v>30</v>
      </c>
      <c r="B31" s="4">
        <v>45608</v>
      </c>
      <c r="C31">
        <v>36</v>
      </c>
      <c r="D31" s="1">
        <v>333</v>
      </c>
      <c r="E31" s="1">
        <v>336.17</v>
      </c>
      <c r="F31" s="1">
        <v>347.35</v>
      </c>
      <c r="G31" s="2">
        <f t="shared" si="0"/>
        <v>3.3256983074039938E-2</v>
      </c>
      <c r="H31" s="2">
        <f t="shared" si="1"/>
        <v>0.66363331577182838</v>
      </c>
    </row>
    <row r="32" spans="1:8" x14ac:dyDescent="0.2">
      <c r="A32">
        <v>31</v>
      </c>
      <c r="B32" s="4">
        <v>45609</v>
      </c>
      <c r="C32">
        <v>30</v>
      </c>
      <c r="D32" s="1">
        <v>294.52999999999997</v>
      </c>
      <c r="E32" s="1">
        <v>347.35</v>
      </c>
      <c r="F32" s="1">
        <v>322.89</v>
      </c>
      <c r="G32" s="2">
        <f t="shared" si="0"/>
        <v>-7.0418885850007301E-2</v>
      </c>
      <c r="H32" s="2">
        <f t="shared" si="1"/>
        <v>0.42587767719143299</v>
      </c>
    </row>
    <row r="33" spans="1:8" x14ac:dyDescent="0.2">
      <c r="A33">
        <v>32</v>
      </c>
      <c r="B33" s="4">
        <v>45610</v>
      </c>
      <c r="C33">
        <v>42</v>
      </c>
      <c r="D33" s="1">
        <v>306.16000000000003</v>
      </c>
      <c r="E33" s="1">
        <v>322.89</v>
      </c>
      <c r="F33" s="1">
        <v>320.61</v>
      </c>
      <c r="G33" s="2">
        <f t="shared" si="0"/>
        <v>-7.0612282820774032E-3</v>
      </c>
      <c r="H33" s="2">
        <f t="shared" si="1"/>
        <v>0.17879991175821749</v>
      </c>
    </row>
    <row r="34" spans="1:8" x14ac:dyDescent="0.2">
      <c r="A34">
        <v>33</v>
      </c>
      <c r="B34" s="4">
        <v>45611</v>
      </c>
      <c r="C34">
        <v>25</v>
      </c>
      <c r="D34" s="1">
        <v>311.76</v>
      </c>
      <c r="E34" s="1">
        <v>320.61</v>
      </c>
      <c r="F34" s="1">
        <v>312.70999999999998</v>
      </c>
      <c r="G34" s="2">
        <f t="shared" si="0"/>
        <v>-2.4640528991609848E-2</v>
      </c>
      <c r="H34" s="2">
        <f t="shared" si="1"/>
        <v>-1.3315243113621391E-2</v>
      </c>
    </row>
    <row r="35" spans="1:8" x14ac:dyDescent="0.2">
      <c r="A35">
        <v>34</v>
      </c>
      <c r="B35" s="4">
        <v>45612</v>
      </c>
      <c r="C35">
        <v>45</v>
      </c>
      <c r="D35" s="1">
        <v>245.34</v>
      </c>
      <c r="E35" s="1">
        <v>312.70999999999998</v>
      </c>
      <c r="F35" s="1">
        <v>367.2</v>
      </c>
      <c r="G35" s="2">
        <f t="shared" si="0"/>
        <v>0.17425090339291999</v>
      </c>
      <c r="H35" s="2">
        <f t="shared" si="1"/>
        <v>3.1084154662623181E-2</v>
      </c>
    </row>
    <row r="36" spans="1:8" x14ac:dyDescent="0.2">
      <c r="A36">
        <v>35</v>
      </c>
      <c r="B36" s="4">
        <v>45613</v>
      </c>
      <c r="C36">
        <v>29</v>
      </c>
      <c r="D36" s="1">
        <v>304.08</v>
      </c>
      <c r="E36" s="1">
        <v>367.2</v>
      </c>
      <c r="F36" s="1">
        <v>421.34</v>
      </c>
      <c r="G36" s="2">
        <f t="shared" si="0"/>
        <v>0.14744008714596946</v>
      </c>
      <c r="H36" s="2">
        <f t="shared" si="1"/>
        <v>0.47838596491228064</v>
      </c>
    </row>
    <row r="37" spans="1:8" x14ac:dyDescent="0.2">
      <c r="A37">
        <v>36</v>
      </c>
      <c r="B37" s="4">
        <v>45614</v>
      </c>
      <c r="C37">
        <v>35</v>
      </c>
      <c r="D37" s="1">
        <v>398.81</v>
      </c>
      <c r="E37" s="1">
        <v>421.34</v>
      </c>
      <c r="F37" s="1">
        <v>466.64</v>
      </c>
      <c r="G37" s="2">
        <f t="shared" si="0"/>
        <v>0.10751412161199984</v>
      </c>
      <c r="H37" s="2">
        <f t="shared" si="1"/>
        <v>0.38810720766278956</v>
      </c>
    </row>
    <row r="38" spans="1:8" x14ac:dyDescent="0.2">
      <c r="A38">
        <v>37</v>
      </c>
      <c r="B38" s="4">
        <v>45615</v>
      </c>
      <c r="C38">
        <v>26</v>
      </c>
      <c r="D38" s="1">
        <v>456.4</v>
      </c>
      <c r="E38" s="1">
        <v>466.64</v>
      </c>
      <c r="F38" s="1">
        <v>455.6</v>
      </c>
      <c r="G38" s="2">
        <f t="shared" si="0"/>
        <v>-2.36584947711297E-2</v>
      </c>
      <c r="H38" s="2">
        <f t="shared" si="1"/>
        <v>0.31164531452425503</v>
      </c>
    </row>
    <row r="39" spans="1:8" x14ac:dyDescent="0.2">
      <c r="A39">
        <v>38</v>
      </c>
      <c r="B39" s="4">
        <v>45615</v>
      </c>
      <c r="C39">
        <v>32</v>
      </c>
      <c r="D39" s="1">
        <v>411.44</v>
      </c>
      <c r="E39" s="1">
        <v>455.6</v>
      </c>
      <c r="F39" s="1">
        <v>501.95</v>
      </c>
      <c r="G39" s="2">
        <f t="shared" si="0"/>
        <v>0.10173397717295865</v>
      </c>
      <c r="H39" s="2">
        <f t="shared" si="1"/>
        <v>0.55455418253894517</v>
      </c>
    </row>
    <row r="40" spans="1:8" x14ac:dyDescent="0.2">
      <c r="A40">
        <v>39</v>
      </c>
      <c r="B40" s="4">
        <v>45616</v>
      </c>
      <c r="C40">
        <v>43</v>
      </c>
      <c r="D40" s="1">
        <v>447.15</v>
      </c>
      <c r="E40" s="1">
        <v>501.95</v>
      </c>
      <c r="F40" s="1">
        <v>404.1</v>
      </c>
      <c r="G40" s="2">
        <f t="shared" si="0"/>
        <v>-0.19493973503336978</v>
      </c>
      <c r="H40" s="2">
        <f t="shared" si="1"/>
        <v>0.26040984373537945</v>
      </c>
    </row>
    <row r="41" spans="1:8" x14ac:dyDescent="0.2">
      <c r="A41">
        <v>40</v>
      </c>
      <c r="B41" s="4">
        <v>45617</v>
      </c>
      <c r="C41">
        <v>8</v>
      </c>
      <c r="D41" s="1">
        <v>95.56</v>
      </c>
      <c r="E41" s="1">
        <v>404.1</v>
      </c>
      <c r="F41" s="1">
        <v>377.87</v>
      </c>
      <c r="G41" s="2">
        <f t="shared" si="0"/>
        <v>-6.4909675822816176E-2</v>
      </c>
      <c r="H41" s="2">
        <f t="shared" si="1"/>
        <v>0.20837197403344962</v>
      </c>
    </row>
    <row r="42" spans="1:8" x14ac:dyDescent="0.2">
      <c r="A42">
        <v>41</v>
      </c>
      <c r="B42" s="4">
        <v>45618</v>
      </c>
      <c r="C42">
        <v>42</v>
      </c>
      <c r="D42" s="1">
        <v>264.58</v>
      </c>
      <c r="E42" s="1">
        <v>377.87</v>
      </c>
      <c r="F42" s="1">
        <v>397.87</v>
      </c>
      <c r="G42" s="2">
        <f t="shared" si="0"/>
        <v>5.2928255749331778E-2</v>
      </c>
      <c r="H42" s="2">
        <f t="shared" si="1"/>
        <v>8.3523965141612241E-2</v>
      </c>
    </row>
    <row r="43" spans="1:8" x14ac:dyDescent="0.2">
      <c r="A43">
        <v>42</v>
      </c>
      <c r="B43" s="4">
        <v>45619</v>
      </c>
      <c r="C43">
        <v>4</v>
      </c>
      <c r="D43" s="1">
        <v>51.91</v>
      </c>
      <c r="E43" s="1">
        <v>397.78</v>
      </c>
      <c r="F43" s="1">
        <v>445.88</v>
      </c>
      <c r="G43" s="2">
        <f t="shared" si="0"/>
        <v>0.12092111217255776</v>
      </c>
      <c r="H43" s="2">
        <f t="shared" si="1"/>
        <v>5.8242749323586702E-2</v>
      </c>
    </row>
    <row r="44" spans="1:8" x14ac:dyDescent="0.2">
      <c r="A44">
        <v>43</v>
      </c>
      <c r="B44" s="4">
        <v>45620</v>
      </c>
      <c r="C44">
        <v>43</v>
      </c>
      <c r="D44" s="1">
        <v>389.77</v>
      </c>
      <c r="E44" s="1">
        <v>445.8</v>
      </c>
      <c r="F44" s="1">
        <v>280.33</v>
      </c>
      <c r="G44" s="2">
        <f t="shared" si="0"/>
        <v>-0.37117541498429796</v>
      </c>
      <c r="H44" s="2">
        <f t="shared" si="1"/>
        <v>-0.39925852905880338</v>
      </c>
    </row>
    <row r="45" spans="1:8" x14ac:dyDescent="0.2">
      <c r="A45">
        <v>44</v>
      </c>
      <c r="B45" s="4">
        <v>45621</v>
      </c>
      <c r="C45">
        <v>13</v>
      </c>
      <c r="D45" s="1">
        <v>138.61000000000001</v>
      </c>
      <c r="E45" s="1">
        <v>280.33</v>
      </c>
      <c r="F45" s="1">
        <v>297.01</v>
      </c>
      <c r="G45" s="2">
        <f t="shared" si="0"/>
        <v>5.9501302036885126E-2</v>
      </c>
      <c r="H45" s="2">
        <f t="shared" si="1"/>
        <v>-0.34809043020193159</v>
      </c>
    </row>
    <row r="46" spans="1:8" x14ac:dyDescent="0.2">
      <c r="A46">
        <v>45</v>
      </c>
      <c r="B46" s="4">
        <v>45622</v>
      </c>
      <c r="C46">
        <v>41</v>
      </c>
      <c r="D46" s="1">
        <v>208.99</v>
      </c>
      <c r="E46" s="1">
        <v>297.01</v>
      </c>
      <c r="F46" s="1">
        <v>318.97000000000003</v>
      </c>
      <c r="G46" s="2">
        <f t="shared" si="0"/>
        <v>7.3936904481330723E-2</v>
      </c>
      <c r="H46" s="2">
        <f>(F46-E40)/E40</f>
        <v>-0.36453830062755249</v>
      </c>
    </row>
    <row r="47" spans="1:8" x14ac:dyDescent="0.2">
      <c r="A47">
        <v>46</v>
      </c>
      <c r="B47" s="4">
        <v>45625</v>
      </c>
      <c r="C47">
        <v>40</v>
      </c>
      <c r="D47" s="1">
        <v>242.99</v>
      </c>
      <c r="E47" s="1">
        <v>318.97000000000003</v>
      </c>
      <c r="F47" s="1">
        <v>285.55</v>
      </c>
      <c r="G47" s="2">
        <f t="shared" si="0"/>
        <v>-0.10477474370630471</v>
      </c>
      <c r="H47" s="2">
        <f>(F47-E41)/E41</f>
        <v>-0.29336797822321209</v>
      </c>
    </row>
    <row r="48" spans="1:8" x14ac:dyDescent="0.2">
      <c r="A48">
        <v>47</v>
      </c>
      <c r="B48" s="4">
        <v>45626</v>
      </c>
      <c r="C48">
        <v>37</v>
      </c>
      <c r="D48" s="1">
        <v>209.67</v>
      </c>
      <c r="E48" s="1">
        <v>285.55</v>
      </c>
      <c r="F48" s="1">
        <v>260.13</v>
      </c>
      <c r="G48" s="2">
        <f t="shared" si="0"/>
        <v>-8.9021187182630065E-2</v>
      </c>
      <c r="H48" s="2">
        <f>(F48-E42)/E42</f>
        <v>-0.31158864159631622</v>
      </c>
    </row>
    <row r="49" spans="1:8" x14ac:dyDescent="0.2">
      <c r="A49">
        <v>48</v>
      </c>
      <c r="B49" s="4">
        <v>45627</v>
      </c>
      <c r="C49">
        <v>29</v>
      </c>
      <c r="D49" s="1">
        <v>248.11</v>
      </c>
      <c r="E49" s="1">
        <v>260.13</v>
      </c>
      <c r="F49" s="1">
        <v>237.52</v>
      </c>
      <c r="G49" s="2">
        <f t="shared" si="0"/>
        <v>-8.6918079421827499E-2</v>
      </c>
      <c r="H49" s="2">
        <f>(F49-E43)/E43</f>
        <v>-0.40288601739655078</v>
      </c>
    </row>
    <row r="50" spans="1:8" x14ac:dyDescent="0.2">
      <c r="A50">
        <v>49</v>
      </c>
      <c r="B50" s="4">
        <v>45628</v>
      </c>
      <c r="C50">
        <v>18</v>
      </c>
      <c r="D50" s="1">
        <v>124.5</v>
      </c>
      <c r="E50" s="1">
        <v>237.52</v>
      </c>
      <c r="F50" s="1">
        <v>240.27</v>
      </c>
      <c r="G50" s="2">
        <f t="shared" si="0"/>
        <v>1.1577972381273156E-2</v>
      </c>
      <c r="H50" s="2">
        <f t="shared" ref="H50:H63" si="2">(F50-E44)/E44</f>
        <v>-0.46103633916554509</v>
      </c>
    </row>
    <row r="51" spans="1:8" x14ac:dyDescent="0.2">
      <c r="A51">
        <v>50</v>
      </c>
      <c r="B51" s="4">
        <v>45629</v>
      </c>
      <c r="C51">
        <v>41</v>
      </c>
      <c r="D51" s="1">
        <v>198.94</v>
      </c>
      <c r="E51" s="1">
        <v>240.27</v>
      </c>
      <c r="F51" s="1">
        <v>326.81</v>
      </c>
      <c r="G51" s="2">
        <f t="shared" si="0"/>
        <v>0.36017813293378276</v>
      </c>
      <c r="H51" s="2">
        <f t="shared" si="2"/>
        <v>0.16580458745050483</v>
      </c>
    </row>
    <row r="52" spans="1:8" x14ac:dyDescent="0.2">
      <c r="A52">
        <v>51</v>
      </c>
      <c r="B52" s="4">
        <v>45630</v>
      </c>
      <c r="C52">
        <v>24</v>
      </c>
      <c r="D52" s="1">
        <v>233.06</v>
      </c>
      <c r="E52" s="1">
        <v>326.81</v>
      </c>
      <c r="F52" s="1">
        <v>318.8</v>
      </c>
      <c r="G52" s="2">
        <f t="shared" si="0"/>
        <v>-2.4509653927358377E-2</v>
      </c>
      <c r="H52" s="2">
        <f t="shared" si="2"/>
        <v>7.3364533180701061E-2</v>
      </c>
    </row>
    <row r="53" spans="1:8" x14ac:dyDescent="0.2">
      <c r="A53">
        <v>52</v>
      </c>
      <c r="B53" s="4">
        <v>45631</v>
      </c>
      <c r="C53">
        <v>40</v>
      </c>
      <c r="D53" s="1">
        <v>286.83999999999997</v>
      </c>
      <c r="E53" s="1">
        <v>318.8</v>
      </c>
      <c r="F53" s="1">
        <v>326.52999999999997</v>
      </c>
      <c r="G53" s="2">
        <f t="shared" si="0"/>
        <v>2.4247176913425223E-2</v>
      </c>
      <c r="H53" s="2">
        <f t="shared" si="2"/>
        <v>2.3701288522431405E-2</v>
      </c>
    </row>
    <row r="54" spans="1:8" x14ac:dyDescent="0.2">
      <c r="A54">
        <v>53</v>
      </c>
      <c r="B54" s="4">
        <v>45632</v>
      </c>
      <c r="C54">
        <v>38</v>
      </c>
      <c r="D54" s="1">
        <v>312.61</v>
      </c>
      <c r="E54" s="1">
        <v>326.52999999999997</v>
      </c>
      <c r="F54" s="1">
        <v>312.10000000000002</v>
      </c>
      <c r="G54" s="2">
        <f t="shared" si="0"/>
        <v>-4.419195785992084E-2</v>
      </c>
      <c r="H54" s="2">
        <f t="shared" si="2"/>
        <v>9.2978462616004245E-2</v>
      </c>
    </row>
    <row r="55" spans="1:8" x14ac:dyDescent="0.2">
      <c r="A55">
        <v>54</v>
      </c>
      <c r="B55" s="4">
        <v>45633</v>
      </c>
      <c r="C55">
        <v>45</v>
      </c>
      <c r="D55" s="1">
        <v>263.67</v>
      </c>
      <c r="E55" s="1">
        <v>312.10000000000002</v>
      </c>
      <c r="F55" s="1">
        <v>357.34</v>
      </c>
      <c r="G55" s="2">
        <f t="shared" si="0"/>
        <v>0.14495354053188064</v>
      </c>
      <c r="H55" s="2">
        <f t="shared" si="2"/>
        <v>0.3736977665013646</v>
      </c>
    </row>
    <row r="56" spans="1:8" x14ac:dyDescent="0.2">
      <c r="A56">
        <v>55</v>
      </c>
      <c r="B56" s="4">
        <v>45634</v>
      </c>
      <c r="C56">
        <v>28</v>
      </c>
      <c r="D56" s="1">
        <v>340.61</v>
      </c>
      <c r="E56" s="1">
        <v>357.34</v>
      </c>
      <c r="F56" s="1">
        <v>459.63</v>
      </c>
      <c r="G56" s="2">
        <f t="shared" si="0"/>
        <v>0.28625398779873518</v>
      </c>
      <c r="H56" s="2">
        <f t="shared" si="2"/>
        <v>0.93512125294712012</v>
      </c>
    </row>
    <row r="57" spans="1:8" x14ac:dyDescent="0.2">
      <c r="A57">
        <v>56</v>
      </c>
      <c r="B57" s="4">
        <v>45635</v>
      </c>
      <c r="C57">
        <v>19</v>
      </c>
      <c r="D57" s="1">
        <v>248.47</v>
      </c>
      <c r="E57" s="1">
        <v>459.63</v>
      </c>
      <c r="F57" s="1">
        <v>476.85</v>
      </c>
      <c r="G57" s="2">
        <f t="shared" si="0"/>
        <v>3.7464917433587944E-2</v>
      </c>
      <c r="H57" s="2">
        <f t="shared" si="2"/>
        <v>0.98464227743788235</v>
      </c>
    </row>
    <row r="58" spans="1:8" x14ac:dyDescent="0.2">
      <c r="A58">
        <v>57</v>
      </c>
      <c r="B58" s="4">
        <v>45636</v>
      </c>
      <c r="C58">
        <v>42</v>
      </c>
      <c r="D58" s="1">
        <v>389.35</v>
      </c>
      <c r="E58" s="1">
        <v>476.85</v>
      </c>
      <c r="F58" s="1">
        <v>519.24</v>
      </c>
      <c r="G58" s="2">
        <f t="shared" si="0"/>
        <v>8.8895879207297857E-2</v>
      </c>
      <c r="H58" s="2">
        <f t="shared" si="2"/>
        <v>0.58881307181542797</v>
      </c>
    </row>
    <row r="59" spans="1:8" x14ac:dyDescent="0.2">
      <c r="A59">
        <v>58</v>
      </c>
      <c r="B59" s="4">
        <v>45637</v>
      </c>
      <c r="C59">
        <v>11</v>
      </c>
      <c r="D59" s="1">
        <v>134.38999999999999</v>
      </c>
      <c r="E59" s="1">
        <v>519.24</v>
      </c>
      <c r="F59" s="1">
        <v>474.12</v>
      </c>
      <c r="G59" s="2">
        <f t="shared" si="0"/>
        <v>-8.6896232955858577E-2</v>
      </c>
      <c r="H59" s="2">
        <f t="shared" si="2"/>
        <v>0.48720200752823084</v>
      </c>
    </row>
    <row r="60" spans="1:8" x14ac:dyDescent="0.2">
      <c r="A60">
        <v>59</v>
      </c>
      <c r="B60" s="4">
        <v>45638</v>
      </c>
      <c r="C60">
        <v>43</v>
      </c>
      <c r="D60" s="1">
        <v>349.81</v>
      </c>
      <c r="E60" s="1">
        <v>474.12</v>
      </c>
      <c r="F60" s="1">
        <v>486.88</v>
      </c>
      <c r="G60" s="2">
        <f t="shared" si="0"/>
        <v>2.6913017801400471E-2</v>
      </c>
      <c r="H60" s="2">
        <f t="shared" si="2"/>
        <v>0.49107279576149215</v>
      </c>
    </row>
    <row r="61" spans="1:8" x14ac:dyDescent="0.2">
      <c r="A61">
        <v>60</v>
      </c>
      <c r="B61" s="4">
        <v>45639</v>
      </c>
      <c r="C61">
        <v>8</v>
      </c>
      <c r="D61" s="1">
        <v>154</v>
      </c>
      <c r="E61" s="1">
        <v>486.88</v>
      </c>
      <c r="F61" s="1">
        <v>414.98</v>
      </c>
      <c r="G61" s="2">
        <f t="shared" si="0"/>
        <v>-0.14767499178442323</v>
      </c>
      <c r="H61" s="2">
        <f t="shared" si="2"/>
        <v>0.3296379365587952</v>
      </c>
    </row>
    <row r="62" spans="1:8" x14ac:dyDescent="0.2">
      <c r="A62">
        <v>61</v>
      </c>
      <c r="B62" s="4">
        <v>45640</v>
      </c>
      <c r="C62">
        <v>41</v>
      </c>
      <c r="D62" s="1">
        <v>254.43</v>
      </c>
      <c r="E62" s="1">
        <v>414.98</v>
      </c>
      <c r="F62" s="1">
        <v>418.79</v>
      </c>
      <c r="G62" s="2">
        <f t="shared" si="0"/>
        <v>9.1811653573666257E-3</v>
      </c>
      <c r="H62" s="2">
        <f t="shared" si="2"/>
        <v>0.17196507527844643</v>
      </c>
    </row>
    <row r="63" spans="1:8" x14ac:dyDescent="0.2">
      <c r="A63">
        <v>62</v>
      </c>
      <c r="B63" s="4">
        <v>45641</v>
      </c>
      <c r="C63">
        <v>38</v>
      </c>
      <c r="D63" s="1">
        <v>403.87</v>
      </c>
      <c r="E63" s="1">
        <v>418.79</v>
      </c>
      <c r="F63" s="1">
        <v>456.69</v>
      </c>
      <c r="G63" s="2">
        <f t="shared" si="0"/>
        <v>9.0498818023352939E-2</v>
      </c>
      <c r="H63" s="2">
        <f t="shared" si="2"/>
        <v>-6.3964493179296342E-3</v>
      </c>
    </row>
    <row r="64" spans="1:8" x14ac:dyDescent="0.2">
      <c r="A64">
        <v>63</v>
      </c>
      <c r="B64" s="4">
        <v>45642</v>
      </c>
      <c r="C64">
        <v>24</v>
      </c>
      <c r="D64" s="1">
        <v>393.71</v>
      </c>
      <c r="E64" s="1">
        <v>456.69</v>
      </c>
      <c r="F64" s="1">
        <v>480.13</v>
      </c>
      <c r="G64" s="2">
        <f t="shared" ref="G64" si="3">(F64-E64)/E64</f>
        <v>5.1325844664871133E-2</v>
      </c>
      <c r="H64" s="2">
        <f t="shared" ref="H64" si="4">(F64-E58)/E58</f>
        <v>6.8784733144594164E-3</v>
      </c>
    </row>
    <row r="65" spans="4:6" x14ac:dyDescent="0.2">
      <c r="D65" s="1"/>
      <c r="E65" s="1"/>
      <c r="F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9D00-89B3-784A-8541-798B6F5B4D7E}">
  <dimension ref="A1:K73"/>
  <sheetViews>
    <sheetView topLeftCell="A58" workbookViewId="0">
      <selection activeCell="H67" sqref="H67"/>
    </sheetView>
  </sheetViews>
  <sheetFormatPr baseColWidth="10" defaultRowHeight="16" x14ac:dyDescent="0.2"/>
  <sheetData>
    <row r="1" spans="1:11" x14ac:dyDescent="0.2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45</v>
      </c>
      <c r="J1" t="s">
        <v>35</v>
      </c>
    </row>
    <row r="2" spans="1:11" x14ac:dyDescent="0.2">
      <c r="A2">
        <v>1</v>
      </c>
      <c r="B2" t="s">
        <v>0</v>
      </c>
      <c r="C2">
        <v>22</v>
      </c>
      <c r="D2" s="1">
        <v>62.75</v>
      </c>
      <c r="E2" s="1">
        <v>100</v>
      </c>
      <c r="F2" s="1">
        <v>87.8</v>
      </c>
      <c r="G2" s="2">
        <f>(F2-E2)/E2</f>
        <v>-0.12200000000000003</v>
      </c>
      <c r="H2" s="2"/>
      <c r="J2" t="s">
        <v>36</v>
      </c>
      <c r="K2" s="3">
        <f>AVERAGE(G2:G63)</f>
        <v>3.1583877933429511E-2</v>
      </c>
    </row>
    <row r="3" spans="1:11" x14ac:dyDescent="0.2">
      <c r="A3">
        <v>2</v>
      </c>
      <c r="B3" t="s">
        <v>1</v>
      </c>
      <c r="C3">
        <v>45</v>
      </c>
      <c r="D3" s="1">
        <v>73.63</v>
      </c>
      <c r="E3" s="1">
        <v>87.8</v>
      </c>
      <c r="F3" s="1">
        <v>88.93</v>
      </c>
      <c r="G3" s="2">
        <f t="shared" ref="G3:G63" si="0">(F3-E3)/E3</f>
        <v>1.2870159453303071E-2</v>
      </c>
      <c r="H3" s="2"/>
      <c r="J3" t="s">
        <v>39</v>
      </c>
      <c r="K3" s="2">
        <f>(F63/E2)^(1/A63)-1</f>
        <v>2.3976895987201319E-2</v>
      </c>
    </row>
    <row r="4" spans="1:11" x14ac:dyDescent="0.2">
      <c r="A4">
        <v>3</v>
      </c>
      <c r="B4" t="s">
        <v>2</v>
      </c>
      <c r="C4">
        <v>24</v>
      </c>
      <c r="D4" s="1">
        <v>77.81</v>
      </c>
      <c r="E4" s="1">
        <v>88.93</v>
      </c>
      <c r="F4" s="1">
        <v>82.57</v>
      </c>
      <c r="G4" s="2">
        <f t="shared" si="0"/>
        <v>-7.1516923422917045E-2</v>
      </c>
      <c r="H4" s="2"/>
    </row>
    <row r="5" spans="1:11" x14ac:dyDescent="0.2">
      <c r="A5">
        <v>4</v>
      </c>
      <c r="B5" t="s">
        <v>3</v>
      </c>
      <c r="C5">
        <v>45</v>
      </c>
      <c r="D5" s="1">
        <v>67.12</v>
      </c>
      <c r="E5" s="1">
        <v>82.57</v>
      </c>
      <c r="F5" s="1">
        <v>85.27</v>
      </c>
      <c r="G5" s="2">
        <f t="shared" si="0"/>
        <v>3.2699527673489201E-2</v>
      </c>
      <c r="H5" s="2"/>
    </row>
    <row r="6" spans="1:11" x14ac:dyDescent="0.2">
      <c r="A6">
        <v>5</v>
      </c>
      <c r="B6" t="s">
        <v>4</v>
      </c>
      <c r="C6">
        <v>26</v>
      </c>
      <c r="D6" s="1">
        <v>78.319999999999993</v>
      </c>
      <c r="E6" s="1">
        <v>85.27</v>
      </c>
      <c r="F6" s="1">
        <v>71.650000000000006</v>
      </c>
      <c r="G6" s="2">
        <f t="shared" si="0"/>
        <v>-0.15972792306790184</v>
      </c>
      <c r="H6" s="2"/>
    </row>
    <row r="7" spans="1:11" x14ac:dyDescent="0.2">
      <c r="A7">
        <v>6</v>
      </c>
      <c r="B7" t="s">
        <v>5</v>
      </c>
      <c r="C7">
        <v>43</v>
      </c>
      <c r="D7" s="1">
        <v>50.72</v>
      </c>
      <c r="E7" s="1">
        <v>71.650000000000006</v>
      </c>
      <c r="F7" s="1">
        <v>67.44</v>
      </c>
      <c r="G7" s="2">
        <f t="shared" si="0"/>
        <v>-5.8757850662944977E-2</v>
      </c>
      <c r="H7" s="2"/>
    </row>
    <row r="8" spans="1:11" x14ac:dyDescent="0.2">
      <c r="A8">
        <v>7</v>
      </c>
      <c r="B8" t="s">
        <v>6</v>
      </c>
      <c r="C8">
        <v>5</v>
      </c>
      <c r="D8" s="1">
        <v>11.48</v>
      </c>
      <c r="E8" s="1">
        <v>67.44</v>
      </c>
      <c r="F8" s="1">
        <v>77.62</v>
      </c>
      <c r="G8" s="2">
        <f t="shared" si="0"/>
        <v>0.15094899169632275</v>
      </c>
      <c r="H8" s="2">
        <f>(F8-E2)/E2</f>
        <v>-0.22379999999999994</v>
      </c>
    </row>
    <row r="9" spans="1:11" x14ac:dyDescent="0.2">
      <c r="A9">
        <v>8</v>
      </c>
      <c r="B9" t="s">
        <v>7</v>
      </c>
      <c r="C9">
        <v>7</v>
      </c>
      <c r="D9" s="1">
        <v>19</v>
      </c>
      <c r="E9" s="1">
        <v>77.62</v>
      </c>
      <c r="F9" s="1">
        <v>83.31</v>
      </c>
      <c r="G9" s="2">
        <f t="shared" si="0"/>
        <v>7.3305849007987603E-2</v>
      </c>
      <c r="H9" s="2">
        <f>(F9-E3)/E3</f>
        <v>-5.1138952164009058E-2</v>
      </c>
    </row>
    <row r="10" spans="1:11" x14ac:dyDescent="0.2">
      <c r="A10">
        <v>9</v>
      </c>
      <c r="B10" t="s">
        <v>8</v>
      </c>
      <c r="C10">
        <v>37</v>
      </c>
      <c r="D10" s="1">
        <v>47.18</v>
      </c>
      <c r="E10" s="1">
        <v>83.31</v>
      </c>
      <c r="F10" s="1">
        <v>76.66</v>
      </c>
      <c r="G10" s="2">
        <f t="shared" si="0"/>
        <v>-7.9822350258072328E-2</v>
      </c>
      <c r="H10" s="2">
        <f t="shared" ref="H10:H45" si="1">(F10-E4)/E4</f>
        <v>-0.13797368716968414</v>
      </c>
    </row>
    <row r="11" spans="1:11" x14ac:dyDescent="0.2">
      <c r="A11">
        <v>10</v>
      </c>
      <c r="B11" t="s">
        <v>9</v>
      </c>
      <c r="C11">
        <v>6</v>
      </c>
      <c r="D11" s="1">
        <v>15.5</v>
      </c>
      <c r="E11" s="1">
        <v>76.66</v>
      </c>
      <c r="F11" s="1">
        <v>73.72</v>
      </c>
      <c r="G11" s="2">
        <f t="shared" si="0"/>
        <v>-3.8351160970519146E-2</v>
      </c>
      <c r="H11" s="2">
        <f t="shared" si="1"/>
        <v>-0.10718178515199218</v>
      </c>
    </row>
    <row r="12" spans="1:11" x14ac:dyDescent="0.2">
      <c r="A12">
        <v>11</v>
      </c>
      <c r="B12" t="s">
        <v>10</v>
      </c>
      <c r="C12">
        <v>36</v>
      </c>
      <c r="D12" s="1">
        <v>62.6</v>
      </c>
      <c r="E12" s="1">
        <v>73.72</v>
      </c>
      <c r="F12" s="1">
        <v>85.28</v>
      </c>
      <c r="G12" s="2">
        <f t="shared" si="0"/>
        <v>0.15680954964731419</v>
      </c>
      <c r="H12" s="2">
        <f t="shared" si="1"/>
        <v>1.172745396974917E-4</v>
      </c>
    </row>
    <row r="13" spans="1:11" x14ac:dyDescent="0.2">
      <c r="A13">
        <v>12</v>
      </c>
      <c r="B13" t="s">
        <v>11</v>
      </c>
      <c r="C13">
        <v>19</v>
      </c>
      <c r="D13" s="1">
        <v>44.21</v>
      </c>
      <c r="E13" s="1">
        <v>85.28</v>
      </c>
      <c r="F13" s="1">
        <v>101.33</v>
      </c>
      <c r="G13" s="2">
        <f t="shared" si="0"/>
        <v>0.18820356472795494</v>
      </c>
      <c r="H13" s="2">
        <f t="shared" si="1"/>
        <v>0.4142358688066991</v>
      </c>
    </row>
    <row r="14" spans="1:11" x14ac:dyDescent="0.2">
      <c r="A14">
        <v>13</v>
      </c>
      <c r="B14" t="s">
        <v>12</v>
      </c>
      <c r="C14">
        <v>46</v>
      </c>
      <c r="D14" s="1">
        <v>83.75</v>
      </c>
      <c r="E14" s="1">
        <v>101.33</v>
      </c>
      <c r="F14" s="1">
        <v>109.24</v>
      </c>
      <c r="G14" s="2">
        <f t="shared" si="0"/>
        <v>7.8061778347971941E-2</v>
      </c>
      <c r="H14" s="2">
        <f t="shared" si="1"/>
        <v>0.61981020166073542</v>
      </c>
    </row>
    <row r="15" spans="1:11" x14ac:dyDescent="0.2">
      <c r="A15">
        <v>14</v>
      </c>
      <c r="B15" t="s">
        <v>13</v>
      </c>
      <c r="C15">
        <v>29</v>
      </c>
      <c r="D15" s="1">
        <v>97.44</v>
      </c>
      <c r="E15" s="1">
        <v>109.24</v>
      </c>
      <c r="F15" s="1">
        <v>114.63</v>
      </c>
      <c r="G15" s="2">
        <f t="shared" si="0"/>
        <v>4.9340900768949113E-2</v>
      </c>
      <c r="H15" s="2">
        <f t="shared" si="1"/>
        <v>0.4768101004895644</v>
      </c>
    </row>
    <row r="16" spans="1:11" x14ac:dyDescent="0.2">
      <c r="A16">
        <v>15</v>
      </c>
      <c r="B16" t="s">
        <v>14</v>
      </c>
      <c r="C16">
        <v>37</v>
      </c>
      <c r="D16" s="1">
        <v>95.71</v>
      </c>
      <c r="E16" s="1">
        <v>114.63</v>
      </c>
      <c r="F16" s="1">
        <v>150.35</v>
      </c>
      <c r="G16" s="2">
        <f t="shared" si="0"/>
        <v>0.31161127104597403</v>
      </c>
      <c r="H16" s="2">
        <f t="shared" si="1"/>
        <v>0.80470531748889673</v>
      </c>
    </row>
    <row r="17" spans="1:8" x14ac:dyDescent="0.2">
      <c r="A17">
        <v>16</v>
      </c>
      <c r="B17" t="s">
        <v>15</v>
      </c>
      <c r="C17">
        <v>25</v>
      </c>
      <c r="D17" s="1">
        <v>148.5</v>
      </c>
      <c r="E17" s="1">
        <v>150.35</v>
      </c>
      <c r="F17" s="1">
        <v>175.85</v>
      </c>
      <c r="G17" s="2">
        <f t="shared" si="0"/>
        <v>0.16960425673428667</v>
      </c>
      <c r="H17" s="2">
        <f t="shared" si="1"/>
        <v>1.293895121314897</v>
      </c>
    </row>
    <row r="18" spans="1:8" x14ac:dyDescent="0.2">
      <c r="A18">
        <v>17</v>
      </c>
      <c r="B18" t="s">
        <v>16</v>
      </c>
      <c r="C18">
        <v>43</v>
      </c>
      <c r="D18" s="1">
        <v>165.5</v>
      </c>
      <c r="E18" s="1">
        <v>175.85</v>
      </c>
      <c r="F18" s="1">
        <v>177.96</v>
      </c>
      <c r="G18" s="2">
        <f t="shared" si="0"/>
        <v>1.1998862667045855E-2</v>
      </c>
      <c r="H18" s="2">
        <f t="shared" si="1"/>
        <v>1.4139989148128054</v>
      </c>
    </row>
    <row r="19" spans="1:8" x14ac:dyDescent="0.2">
      <c r="A19">
        <v>18</v>
      </c>
      <c r="B19" t="s">
        <v>17</v>
      </c>
      <c r="C19">
        <v>40</v>
      </c>
      <c r="D19" s="1">
        <v>166.82</v>
      </c>
      <c r="E19" s="1">
        <v>177.96</v>
      </c>
      <c r="F19" s="1">
        <v>183.52</v>
      </c>
      <c r="G19" s="2">
        <f t="shared" si="0"/>
        <v>3.1242975949651617E-2</v>
      </c>
      <c r="H19" s="2">
        <f t="shared" si="1"/>
        <v>1.151969981238274</v>
      </c>
    </row>
    <row r="20" spans="1:8" x14ac:dyDescent="0.2">
      <c r="A20">
        <v>19</v>
      </c>
      <c r="B20" t="s">
        <v>18</v>
      </c>
      <c r="C20">
        <v>39</v>
      </c>
      <c r="D20" s="1">
        <v>178.53</v>
      </c>
      <c r="E20" s="1">
        <v>183.52</v>
      </c>
      <c r="F20" s="1">
        <v>162.97</v>
      </c>
      <c r="G20" s="2">
        <f t="shared" si="0"/>
        <v>-0.11197689625108985</v>
      </c>
      <c r="H20" s="2">
        <f t="shared" si="1"/>
        <v>0.60830948386460082</v>
      </c>
    </row>
    <row r="21" spans="1:8" x14ac:dyDescent="0.2">
      <c r="A21">
        <v>20</v>
      </c>
      <c r="B21" t="s">
        <v>19</v>
      </c>
      <c r="C21">
        <v>43</v>
      </c>
      <c r="D21" s="1">
        <v>132.44</v>
      </c>
      <c r="E21" s="1">
        <v>162.97</v>
      </c>
      <c r="F21" s="1">
        <v>153.41</v>
      </c>
      <c r="G21" s="2">
        <f t="shared" si="0"/>
        <v>-5.8661103270540603E-2</v>
      </c>
      <c r="H21" s="2">
        <f t="shared" si="1"/>
        <v>0.40433906993775176</v>
      </c>
    </row>
    <row r="22" spans="1:8" x14ac:dyDescent="0.2">
      <c r="A22">
        <v>21</v>
      </c>
      <c r="B22" t="s">
        <v>20</v>
      </c>
      <c r="C22">
        <v>24</v>
      </c>
      <c r="D22" s="1">
        <v>135.41999999999999</v>
      </c>
      <c r="E22" s="1">
        <v>153.41</v>
      </c>
      <c r="F22" s="1">
        <v>187.06</v>
      </c>
      <c r="G22" s="2">
        <f t="shared" si="0"/>
        <v>0.219346848314973</v>
      </c>
      <c r="H22" s="2">
        <f t="shared" si="1"/>
        <v>0.63185902468812705</v>
      </c>
    </row>
    <row r="23" spans="1:8" x14ac:dyDescent="0.2">
      <c r="A23">
        <v>22</v>
      </c>
      <c r="B23" t="s">
        <v>21</v>
      </c>
      <c r="C23">
        <v>15</v>
      </c>
      <c r="D23" s="1">
        <v>73.040000000000006</v>
      </c>
      <c r="E23" s="1">
        <v>187.06</v>
      </c>
      <c r="F23" s="1">
        <v>194.64</v>
      </c>
      <c r="G23" s="2">
        <f t="shared" si="0"/>
        <v>4.0521757724794098E-2</v>
      </c>
      <c r="H23" s="2">
        <f t="shared" si="1"/>
        <v>0.29457931493182571</v>
      </c>
    </row>
    <row r="24" spans="1:8" x14ac:dyDescent="0.2">
      <c r="A24">
        <v>23</v>
      </c>
      <c r="B24" t="s">
        <v>22</v>
      </c>
      <c r="C24">
        <v>44</v>
      </c>
      <c r="D24" s="1">
        <v>149.91</v>
      </c>
      <c r="E24" s="1">
        <v>194.64</v>
      </c>
      <c r="F24" s="1">
        <v>196.79</v>
      </c>
      <c r="G24" s="2">
        <f t="shared" si="0"/>
        <v>1.1046033703247049E-2</v>
      </c>
      <c r="H24" s="2">
        <f t="shared" si="1"/>
        <v>0.1190787603070799</v>
      </c>
    </row>
    <row r="25" spans="1:8" x14ac:dyDescent="0.2">
      <c r="A25">
        <v>24</v>
      </c>
      <c r="B25" t="s">
        <v>23</v>
      </c>
      <c r="C25">
        <v>21</v>
      </c>
      <c r="D25" s="1">
        <v>115.31</v>
      </c>
      <c r="E25" s="1">
        <v>196.79</v>
      </c>
      <c r="F25" s="1">
        <v>210.31</v>
      </c>
      <c r="G25" s="2">
        <f t="shared" si="0"/>
        <v>6.8702677981604815E-2</v>
      </c>
      <c r="H25" s="2">
        <f t="shared" si="1"/>
        <v>0.18178242301640815</v>
      </c>
    </row>
    <row r="26" spans="1:8" x14ac:dyDescent="0.2">
      <c r="A26">
        <v>25</v>
      </c>
      <c r="B26" t="s">
        <v>24</v>
      </c>
      <c r="C26">
        <v>48</v>
      </c>
      <c r="D26" s="1">
        <v>158.57</v>
      </c>
      <c r="E26" s="1">
        <v>210.31</v>
      </c>
      <c r="F26" s="1">
        <v>254.44</v>
      </c>
      <c r="G26" s="2">
        <f t="shared" si="0"/>
        <v>0.20983310351386047</v>
      </c>
      <c r="H26" s="2">
        <f t="shared" si="1"/>
        <v>0.38644289450741054</v>
      </c>
    </row>
    <row r="27" spans="1:8" x14ac:dyDescent="0.2">
      <c r="A27">
        <v>26</v>
      </c>
      <c r="B27" t="s">
        <v>25</v>
      </c>
      <c r="C27">
        <v>21</v>
      </c>
      <c r="D27" s="1">
        <v>163.22</v>
      </c>
      <c r="E27" s="1">
        <v>254.44</v>
      </c>
      <c r="F27" s="1">
        <v>299.58999999999997</v>
      </c>
      <c r="G27" s="2">
        <f t="shared" si="0"/>
        <v>0.17744851438453066</v>
      </c>
      <c r="H27" s="2">
        <f t="shared" si="1"/>
        <v>0.83831380008590528</v>
      </c>
    </row>
    <row r="28" spans="1:8" x14ac:dyDescent="0.2">
      <c r="A28">
        <v>27</v>
      </c>
      <c r="B28" t="s">
        <v>26</v>
      </c>
      <c r="C28">
        <v>45</v>
      </c>
      <c r="D28" s="1">
        <v>237.72</v>
      </c>
      <c r="E28" s="1">
        <v>299.58999999999997</v>
      </c>
      <c r="F28" s="1">
        <v>334.05</v>
      </c>
      <c r="G28" s="2">
        <f t="shared" si="0"/>
        <v>0.11502386595013198</v>
      </c>
      <c r="H28" s="2">
        <f t="shared" si="1"/>
        <v>1.1774982074180302</v>
      </c>
    </row>
    <row r="29" spans="1:8" x14ac:dyDescent="0.2">
      <c r="A29">
        <v>28</v>
      </c>
      <c r="B29" t="s">
        <v>27</v>
      </c>
      <c r="C29">
        <v>20</v>
      </c>
      <c r="D29" s="1">
        <v>219.25</v>
      </c>
      <c r="E29" s="1">
        <v>334.05</v>
      </c>
      <c r="F29" s="1">
        <v>273.75</v>
      </c>
      <c r="G29" s="2">
        <f t="shared" si="0"/>
        <v>-0.18051189941625509</v>
      </c>
      <c r="H29" s="2">
        <f t="shared" si="1"/>
        <v>0.46343419223778465</v>
      </c>
    </row>
    <row r="30" spans="1:8" x14ac:dyDescent="0.2">
      <c r="A30">
        <v>29</v>
      </c>
      <c r="B30" t="s">
        <v>28</v>
      </c>
      <c r="C30">
        <v>23</v>
      </c>
      <c r="D30" s="1">
        <v>239.8</v>
      </c>
      <c r="E30" s="1">
        <v>273.75</v>
      </c>
      <c r="F30" s="1">
        <v>335.1</v>
      </c>
      <c r="G30" s="2">
        <f t="shared" si="0"/>
        <v>0.22410958904109599</v>
      </c>
      <c r="H30" s="2">
        <f t="shared" si="1"/>
        <v>0.72163995067817532</v>
      </c>
    </row>
    <row r="31" spans="1:8" x14ac:dyDescent="0.2">
      <c r="A31">
        <v>30</v>
      </c>
      <c r="B31" s="4">
        <v>45608</v>
      </c>
      <c r="C31">
        <v>24</v>
      </c>
      <c r="D31" s="1">
        <v>291.7</v>
      </c>
      <c r="E31" s="1">
        <v>335.1</v>
      </c>
      <c r="F31" s="1">
        <v>343.6</v>
      </c>
      <c r="G31" s="2">
        <f t="shared" si="0"/>
        <v>2.5365562518651148E-2</v>
      </c>
      <c r="H31" s="2">
        <f t="shared" si="1"/>
        <v>0.74602368006504416</v>
      </c>
    </row>
    <row r="32" spans="1:8" x14ac:dyDescent="0.2">
      <c r="A32">
        <v>31</v>
      </c>
      <c r="B32" s="4">
        <v>45609</v>
      </c>
      <c r="C32">
        <v>32</v>
      </c>
      <c r="D32" s="1">
        <v>317.61</v>
      </c>
      <c r="E32" s="1">
        <v>343.6</v>
      </c>
      <c r="F32" s="1">
        <v>320.45</v>
      </c>
      <c r="G32" s="2">
        <f t="shared" si="0"/>
        <v>-6.7374854481955862E-2</v>
      </c>
      <c r="H32" s="2">
        <f t="shared" si="1"/>
        <v>0.52370310494032613</v>
      </c>
    </row>
    <row r="33" spans="1:8" x14ac:dyDescent="0.2">
      <c r="A33">
        <v>32</v>
      </c>
      <c r="B33" s="4">
        <v>45610</v>
      </c>
      <c r="C33">
        <v>41</v>
      </c>
      <c r="D33" s="1">
        <v>299.02999999999997</v>
      </c>
      <c r="E33" s="1">
        <v>320.45</v>
      </c>
      <c r="F33" s="1">
        <v>304.67</v>
      </c>
      <c r="G33" s="2">
        <f t="shared" si="0"/>
        <v>-4.9243251677328674E-2</v>
      </c>
      <c r="H33" s="2">
        <f t="shared" si="1"/>
        <v>0.19741392862757434</v>
      </c>
    </row>
    <row r="34" spans="1:8" x14ac:dyDescent="0.2">
      <c r="A34">
        <v>33</v>
      </c>
      <c r="B34" s="4">
        <v>45611</v>
      </c>
      <c r="C34">
        <v>36</v>
      </c>
      <c r="D34" s="1">
        <v>301.64</v>
      </c>
      <c r="E34" s="1">
        <v>304.67</v>
      </c>
      <c r="F34" s="1">
        <v>319.49</v>
      </c>
      <c r="G34" s="2">
        <f t="shared" si="0"/>
        <v>4.8642793842518108E-2</v>
      </c>
      <c r="H34" s="2">
        <f t="shared" si="1"/>
        <v>6.642411295437109E-2</v>
      </c>
    </row>
    <row r="35" spans="1:8" x14ac:dyDescent="0.2">
      <c r="A35">
        <v>34</v>
      </c>
      <c r="B35" s="4">
        <v>45612</v>
      </c>
      <c r="C35">
        <v>44</v>
      </c>
      <c r="D35" s="1">
        <v>244.72</v>
      </c>
      <c r="E35" s="1">
        <v>319.49</v>
      </c>
      <c r="F35" s="1">
        <v>374.57</v>
      </c>
      <c r="G35" s="2">
        <f t="shared" si="0"/>
        <v>0.1723997621208801</v>
      </c>
      <c r="H35" s="2">
        <f t="shared" si="1"/>
        <v>0.12129920670558293</v>
      </c>
    </row>
    <row r="36" spans="1:8" x14ac:dyDescent="0.2">
      <c r="A36">
        <v>35</v>
      </c>
      <c r="B36" s="4">
        <v>45613</v>
      </c>
      <c r="C36">
        <v>31</v>
      </c>
      <c r="D36" s="1">
        <v>343.62</v>
      </c>
      <c r="E36" s="1">
        <v>374.57</v>
      </c>
      <c r="F36" s="1">
        <v>425.97</v>
      </c>
      <c r="G36" s="2">
        <f t="shared" si="0"/>
        <v>0.13722401687268077</v>
      </c>
      <c r="H36" s="2">
        <f t="shared" si="1"/>
        <v>0.55605479452054807</v>
      </c>
    </row>
    <row r="37" spans="1:8" x14ac:dyDescent="0.2">
      <c r="A37">
        <v>36</v>
      </c>
      <c r="B37" s="4">
        <v>45614</v>
      </c>
      <c r="C37">
        <v>36</v>
      </c>
      <c r="D37" s="1">
        <v>407.51</v>
      </c>
      <c r="E37" s="1">
        <v>425.97</v>
      </c>
      <c r="F37" s="1">
        <v>476.33</v>
      </c>
      <c r="G37" s="2">
        <f t="shared" si="0"/>
        <v>0.11822428809540567</v>
      </c>
      <c r="H37" s="2">
        <f t="shared" si="1"/>
        <v>0.42145628170695298</v>
      </c>
    </row>
    <row r="38" spans="1:8" x14ac:dyDescent="0.2">
      <c r="A38">
        <v>37</v>
      </c>
      <c r="B38" s="4">
        <v>45615</v>
      </c>
      <c r="C38">
        <v>42</v>
      </c>
      <c r="D38" s="1">
        <v>449.13</v>
      </c>
      <c r="E38" s="1">
        <v>476.33</v>
      </c>
      <c r="F38" s="1">
        <v>466.41</v>
      </c>
      <c r="G38" s="2">
        <f t="shared" si="0"/>
        <v>-2.0825898011882431E-2</v>
      </c>
      <c r="H38" s="2">
        <f t="shared" si="1"/>
        <v>0.35742142025611173</v>
      </c>
    </row>
    <row r="39" spans="1:8" x14ac:dyDescent="0.2">
      <c r="B39" s="4"/>
      <c r="D39" s="1"/>
      <c r="E39" s="1"/>
      <c r="F39" s="1"/>
      <c r="G39" s="2"/>
      <c r="H39" s="2"/>
    </row>
    <row r="40" spans="1:8" x14ac:dyDescent="0.2">
      <c r="A40">
        <v>39</v>
      </c>
      <c r="B40" s="4">
        <v>45616</v>
      </c>
      <c r="C40">
        <v>33</v>
      </c>
      <c r="D40" s="1">
        <v>448.95</v>
      </c>
      <c r="E40" s="1">
        <v>466.41</v>
      </c>
      <c r="F40" s="1">
        <v>527.05999999999995</v>
      </c>
      <c r="G40" s="2">
        <f t="shared" si="0"/>
        <v>0.13003580540725954</v>
      </c>
      <c r="H40" s="2">
        <f t="shared" si="1"/>
        <v>0.72993730921981137</v>
      </c>
    </row>
    <row r="41" spans="1:8" x14ac:dyDescent="0.2">
      <c r="A41">
        <v>40</v>
      </c>
      <c r="B41" s="4">
        <v>45617</v>
      </c>
      <c r="C41">
        <v>42</v>
      </c>
      <c r="D41" s="1">
        <v>462.16</v>
      </c>
      <c r="E41" s="1">
        <v>527.05999999999995</v>
      </c>
      <c r="F41" s="1">
        <v>417.6</v>
      </c>
      <c r="G41" s="2">
        <f t="shared" si="0"/>
        <v>-0.20768033999924096</v>
      </c>
      <c r="H41" s="2">
        <f t="shared" si="1"/>
        <v>0.307083163792294</v>
      </c>
    </row>
    <row r="42" spans="1:8" x14ac:dyDescent="0.2">
      <c r="A42">
        <v>41</v>
      </c>
      <c r="B42" s="4">
        <v>45618</v>
      </c>
      <c r="C42">
        <v>8</v>
      </c>
      <c r="D42" s="1">
        <v>101.56</v>
      </c>
      <c r="E42" s="1">
        <v>417.6</v>
      </c>
      <c r="F42" s="1">
        <v>389.13</v>
      </c>
      <c r="G42" s="2">
        <f t="shared" si="0"/>
        <v>-6.8175287356321904E-2</v>
      </c>
      <c r="H42" s="2">
        <f t="shared" si="1"/>
        <v>3.8871239020743791E-2</v>
      </c>
    </row>
    <row r="43" spans="1:8" x14ac:dyDescent="0.2">
      <c r="A43">
        <v>42</v>
      </c>
      <c r="B43" s="4">
        <v>45619</v>
      </c>
      <c r="C43">
        <v>42</v>
      </c>
      <c r="D43" s="1">
        <v>270.12</v>
      </c>
      <c r="E43" s="1">
        <v>389.13</v>
      </c>
      <c r="F43" s="1">
        <v>400.14</v>
      </c>
      <c r="G43" s="2">
        <f t="shared" si="0"/>
        <v>2.829388636188418E-2</v>
      </c>
      <c r="H43" s="2">
        <f t="shared" si="1"/>
        <v>-6.0638073103739795E-2</v>
      </c>
    </row>
    <row r="44" spans="1:8" x14ac:dyDescent="0.2">
      <c r="A44">
        <v>43</v>
      </c>
      <c r="B44" s="4">
        <v>45620</v>
      </c>
      <c r="C44">
        <v>4</v>
      </c>
      <c r="D44" s="1">
        <v>53.84</v>
      </c>
      <c r="E44" s="1">
        <v>400.14</v>
      </c>
      <c r="F44" s="1">
        <v>449.01</v>
      </c>
      <c r="G44" s="2">
        <f t="shared" si="0"/>
        <v>0.12213225371120109</v>
      </c>
      <c r="H44" s="2">
        <f t="shared" si="1"/>
        <v>-5.735519492788612E-2</v>
      </c>
    </row>
    <row r="45" spans="1:8" x14ac:dyDescent="0.2">
      <c r="A45">
        <v>44</v>
      </c>
      <c r="B45" s="4">
        <v>45621</v>
      </c>
      <c r="C45">
        <v>41</v>
      </c>
      <c r="D45" s="1">
        <v>383.68</v>
      </c>
      <c r="E45" s="1">
        <v>449.01</v>
      </c>
      <c r="F45" s="1">
        <v>298.58999999999997</v>
      </c>
      <c r="G45" s="2">
        <f t="shared" si="0"/>
        <v>-0.3350036747511192</v>
      </c>
      <c r="H45" s="2" t="e">
        <f t="shared" si="1"/>
        <v>#DIV/0!</v>
      </c>
    </row>
    <row r="46" spans="1:8" x14ac:dyDescent="0.2">
      <c r="A46">
        <v>45</v>
      </c>
      <c r="B46" s="4">
        <v>45622</v>
      </c>
      <c r="C46">
        <v>14</v>
      </c>
      <c r="D46" s="1">
        <v>154.87</v>
      </c>
      <c r="E46" s="1">
        <v>298.58999999999997</v>
      </c>
      <c r="F46" s="1">
        <v>317.12</v>
      </c>
      <c r="G46" s="2">
        <f t="shared" si="0"/>
        <v>6.2058340868749895E-2</v>
      </c>
      <c r="H46" s="2">
        <f>(F46-E40)/E40</f>
        <v>-0.32008318861087887</v>
      </c>
    </row>
    <row r="47" spans="1:8" x14ac:dyDescent="0.2">
      <c r="A47">
        <v>46</v>
      </c>
      <c r="B47" s="4">
        <v>45625</v>
      </c>
      <c r="C47">
        <v>40</v>
      </c>
      <c r="D47" s="1">
        <v>247.65</v>
      </c>
      <c r="E47" s="1">
        <v>331.48</v>
      </c>
      <c r="F47" s="1">
        <v>305.73</v>
      </c>
      <c r="G47" s="2">
        <f t="shared" si="0"/>
        <v>-7.7681911427537095E-2</v>
      </c>
      <c r="H47" s="2">
        <f>(F47-E41)/E41</f>
        <v>-0.41993321443478909</v>
      </c>
    </row>
    <row r="48" spans="1:8" x14ac:dyDescent="0.2">
      <c r="A48">
        <v>47</v>
      </c>
      <c r="B48" s="4">
        <v>45626</v>
      </c>
      <c r="C48">
        <v>39</v>
      </c>
      <c r="D48" s="1">
        <v>229.93</v>
      </c>
      <c r="E48" s="1">
        <v>305.73</v>
      </c>
      <c r="F48" s="1">
        <v>278.10000000000002</v>
      </c>
      <c r="G48" s="2">
        <f t="shared" si="0"/>
        <v>-9.0373859287606689E-2</v>
      </c>
      <c r="H48" s="2">
        <f>(F48-E42)/E42</f>
        <v>-0.33405172413793099</v>
      </c>
    </row>
    <row r="49" spans="1:8" x14ac:dyDescent="0.2">
      <c r="A49">
        <v>48</v>
      </c>
      <c r="B49" s="4">
        <v>45627</v>
      </c>
      <c r="C49">
        <v>22</v>
      </c>
      <c r="D49" s="1">
        <v>252.44</v>
      </c>
      <c r="E49" s="1">
        <v>278.10000000000002</v>
      </c>
      <c r="F49" s="1">
        <v>256.33</v>
      </c>
      <c r="G49" s="2">
        <f t="shared" si="0"/>
        <v>-7.8281193815174524E-2</v>
      </c>
      <c r="H49" s="2">
        <f>(F49-E43)/E43</f>
        <v>-0.34127412432863058</v>
      </c>
    </row>
    <row r="50" spans="1:8" x14ac:dyDescent="0.2">
      <c r="A50">
        <v>49</v>
      </c>
      <c r="B50" s="4">
        <v>45628</v>
      </c>
      <c r="C50">
        <v>22</v>
      </c>
      <c r="D50" s="1">
        <v>149.88</v>
      </c>
      <c r="E50" s="1">
        <v>256.33</v>
      </c>
      <c r="F50" s="1">
        <v>257.06</v>
      </c>
      <c r="G50" s="2">
        <f t="shared" si="0"/>
        <v>2.8478913900051427E-3</v>
      </c>
      <c r="H50" s="2">
        <f t="shared" ref="H50:H63" si="2">(F50-E44)/E44</f>
        <v>-0.35757484880291895</v>
      </c>
    </row>
    <row r="51" spans="1:8" x14ac:dyDescent="0.2">
      <c r="A51">
        <v>50</v>
      </c>
      <c r="B51" s="4">
        <v>45629</v>
      </c>
      <c r="C51">
        <v>42</v>
      </c>
      <c r="D51" s="1">
        <v>207.93</v>
      </c>
      <c r="E51" s="1">
        <v>257.06</v>
      </c>
      <c r="F51" s="1">
        <v>351.76</v>
      </c>
      <c r="G51" s="2">
        <f t="shared" si="0"/>
        <v>0.36839648331128916</v>
      </c>
      <c r="H51" s="2">
        <f t="shared" si="2"/>
        <v>-0.21658760383955813</v>
      </c>
    </row>
    <row r="52" spans="1:8" x14ac:dyDescent="0.2">
      <c r="A52">
        <v>51</v>
      </c>
      <c r="B52" s="4">
        <v>45630</v>
      </c>
      <c r="C52">
        <v>25</v>
      </c>
      <c r="D52" s="1">
        <v>261.08999999999997</v>
      </c>
      <c r="E52" s="1">
        <v>351.76</v>
      </c>
      <c r="F52" s="1">
        <v>332.3</v>
      </c>
      <c r="G52" s="2">
        <f t="shared" si="0"/>
        <v>-5.5321810325221682E-2</v>
      </c>
      <c r="H52" s="2">
        <f t="shared" si="2"/>
        <v>0.11289728390100151</v>
      </c>
    </row>
    <row r="53" spans="1:8" x14ac:dyDescent="0.2">
      <c r="A53">
        <v>52</v>
      </c>
      <c r="B53" s="4">
        <v>45631</v>
      </c>
      <c r="C53">
        <v>40</v>
      </c>
      <c r="D53" s="1">
        <v>300.27999999999997</v>
      </c>
      <c r="E53" s="1">
        <v>332.3</v>
      </c>
      <c r="F53" s="1">
        <v>355.61</v>
      </c>
      <c r="G53" s="2">
        <f t="shared" si="0"/>
        <v>7.0147457117062897E-2</v>
      </c>
      <c r="H53" s="2">
        <f t="shared" si="2"/>
        <v>7.2794738747435722E-2</v>
      </c>
    </row>
    <row r="54" spans="1:8" x14ac:dyDescent="0.2">
      <c r="A54">
        <v>53</v>
      </c>
      <c r="B54" s="4">
        <v>45632</v>
      </c>
      <c r="C54">
        <v>38</v>
      </c>
      <c r="D54" s="1">
        <v>337.39</v>
      </c>
      <c r="E54" s="1">
        <v>355.61</v>
      </c>
      <c r="F54" s="1">
        <v>340.29</v>
      </c>
      <c r="G54" s="2">
        <f t="shared" si="0"/>
        <v>-4.3080903236691857E-2</v>
      </c>
      <c r="H54" s="2">
        <f t="shared" si="2"/>
        <v>0.11304091845746246</v>
      </c>
    </row>
    <row r="55" spans="1:8" x14ac:dyDescent="0.2">
      <c r="A55">
        <v>54</v>
      </c>
      <c r="B55" s="4">
        <v>45633</v>
      </c>
      <c r="C55">
        <v>46</v>
      </c>
      <c r="D55" s="1">
        <v>286.2</v>
      </c>
      <c r="E55" s="1">
        <v>340.29</v>
      </c>
      <c r="F55" s="1">
        <v>384.48</v>
      </c>
      <c r="G55" s="2">
        <f t="shared" si="0"/>
        <v>0.12985982544300448</v>
      </c>
      <c r="H55" s="2">
        <f t="shared" si="2"/>
        <v>0.38252427184466015</v>
      </c>
    </row>
    <row r="56" spans="1:8" x14ac:dyDescent="0.2">
      <c r="A56">
        <v>55</v>
      </c>
      <c r="B56" s="4">
        <v>45634</v>
      </c>
      <c r="C56">
        <v>38</v>
      </c>
      <c r="D56" s="1">
        <v>360.93</v>
      </c>
      <c r="E56" s="1">
        <v>384.48</v>
      </c>
      <c r="F56" s="1">
        <v>439.99</v>
      </c>
      <c r="G56" s="2">
        <f t="shared" si="0"/>
        <v>0.14437682064086554</v>
      </c>
      <c r="H56" s="2">
        <f t="shared" si="2"/>
        <v>0.71649826395661853</v>
      </c>
    </row>
    <row r="57" spans="1:8" x14ac:dyDescent="0.2">
      <c r="A57">
        <v>56</v>
      </c>
      <c r="B57" s="4">
        <v>45635</v>
      </c>
      <c r="C57">
        <v>20</v>
      </c>
      <c r="D57" s="1">
        <v>246.46</v>
      </c>
      <c r="E57" s="1">
        <v>439.99</v>
      </c>
      <c r="F57" s="1">
        <v>454.66</v>
      </c>
      <c r="G57" s="2">
        <f t="shared" si="0"/>
        <v>3.3341666856064947E-2</v>
      </c>
      <c r="H57" s="2">
        <f t="shared" si="2"/>
        <v>0.76869213413210935</v>
      </c>
    </row>
    <row r="58" spans="1:8" x14ac:dyDescent="0.2">
      <c r="A58">
        <v>57</v>
      </c>
      <c r="B58" s="4">
        <v>45636</v>
      </c>
      <c r="C58">
        <v>41</v>
      </c>
      <c r="D58" s="1">
        <v>360.9</v>
      </c>
      <c r="E58" s="1">
        <v>454.66</v>
      </c>
      <c r="F58" s="1">
        <v>492.58</v>
      </c>
      <c r="G58" s="2">
        <f t="shared" si="0"/>
        <v>8.3402982448422897E-2</v>
      </c>
      <c r="H58" s="2">
        <f t="shared" si="2"/>
        <v>0.40032977029793038</v>
      </c>
    </row>
    <row r="59" spans="1:8" x14ac:dyDescent="0.2">
      <c r="A59">
        <v>58</v>
      </c>
      <c r="B59" s="4">
        <v>45637</v>
      </c>
      <c r="C59">
        <v>13</v>
      </c>
      <c r="D59" s="1">
        <v>139.88999999999999</v>
      </c>
      <c r="E59" s="1">
        <v>492.58</v>
      </c>
      <c r="F59" s="1">
        <v>459.95</v>
      </c>
      <c r="G59" s="2">
        <f t="shared" si="0"/>
        <v>-6.6243046814730588E-2</v>
      </c>
      <c r="H59" s="2">
        <f t="shared" si="2"/>
        <v>0.38414083659343956</v>
      </c>
    </row>
    <row r="60" spans="1:8" x14ac:dyDescent="0.2">
      <c r="A60">
        <v>59</v>
      </c>
      <c r="B60" s="4">
        <v>45638</v>
      </c>
      <c r="C60">
        <v>45</v>
      </c>
      <c r="D60" s="1">
        <v>347.38</v>
      </c>
      <c r="E60" s="1">
        <v>459.95</v>
      </c>
      <c r="F60" s="1">
        <v>463.43</v>
      </c>
      <c r="G60" s="2">
        <f t="shared" si="0"/>
        <v>7.5660397869334022E-3</v>
      </c>
      <c r="H60" s="2">
        <f t="shared" si="2"/>
        <v>0.3031973229099294</v>
      </c>
    </row>
    <row r="61" spans="1:8" x14ac:dyDescent="0.2">
      <c r="A61">
        <v>60</v>
      </c>
      <c r="B61" s="4">
        <v>45639</v>
      </c>
      <c r="C61">
        <v>8</v>
      </c>
      <c r="D61" s="1">
        <v>150.26</v>
      </c>
      <c r="E61" s="1">
        <v>463.43</v>
      </c>
      <c r="F61" s="1">
        <v>394.83</v>
      </c>
      <c r="G61" s="2">
        <f t="shared" si="0"/>
        <v>-0.14802667069460332</v>
      </c>
      <c r="H61" s="2">
        <f t="shared" si="2"/>
        <v>0.16027505950806653</v>
      </c>
    </row>
    <row r="62" spans="1:8" x14ac:dyDescent="0.2">
      <c r="A62">
        <v>61</v>
      </c>
      <c r="B62" s="4">
        <v>45640</v>
      </c>
      <c r="C62">
        <v>40</v>
      </c>
      <c r="D62" s="1">
        <v>233.21</v>
      </c>
      <c r="E62" s="1">
        <v>394.83</v>
      </c>
      <c r="F62" s="1">
        <v>409.43</v>
      </c>
      <c r="G62" s="2">
        <f t="shared" si="0"/>
        <v>3.6977939872856733E-2</v>
      </c>
      <c r="H62" s="2">
        <f t="shared" si="2"/>
        <v>6.4892842280482699E-2</v>
      </c>
    </row>
    <row r="63" spans="1:8" x14ac:dyDescent="0.2">
      <c r="A63">
        <v>62</v>
      </c>
      <c r="B63" s="4">
        <v>45641</v>
      </c>
      <c r="C63">
        <v>38</v>
      </c>
      <c r="D63" s="1">
        <v>402.36</v>
      </c>
      <c r="E63" s="1">
        <v>409.43</v>
      </c>
      <c r="F63" s="1">
        <v>434.5</v>
      </c>
      <c r="G63" s="2">
        <f t="shared" si="0"/>
        <v>6.1231468138631735E-2</v>
      </c>
      <c r="H63" s="2">
        <f t="shared" si="2"/>
        <v>-1.2477556308097932E-2</v>
      </c>
    </row>
    <row r="64" spans="1:8" x14ac:dyDescent="0.2">
      <c r="A64">
        <v>63</v>
      </c>
      <c r="B64" s="4">
        <v>45642</v>
      </c>
      <c r="C64">
        <v>26</v>
      </c>
      <c r="D64" s="1">
        <v>399.25</v>
      </c>
      <c r="E64" s="1">
        <v>434.5</v>
      </c>
      <c r="F64" s="1">
        <v>457.72</v>
      </c>
      <c r="G64" s="2">
        <f t="shared" ref="G64" si="3">(F64-E64)/E64</f>
        <v>5.3440736478711226E-2</v>
      </c>
      <c r="H64" s="2">
        <f t="shared" ref="H64" si="4">(F64-E58)/E58</f>
        <v>6.7303039634012277E-3</v>
      </c>
    </row>
    <row r="65" spans="4:6" x14ac:dyDescent="0.2">
      <c r="D65" s="1"/>
      <c r="E65" s="1"/>
      <c r="F65" s="1"/>
    </row>
    <row r="66" spans="4:6" x14ac:dyDescent="0.2">
      <c r="D66" s="1"/>
      <c r="E66" s="1"/>
      <c r="F66" s="1"/>
    </row>
    <row r="67" spans="4:6" x14ac:dyDescent="0.2">
      <c r="D67" s="1"/>
      <c r="E67" s="1"/>
      <c r="F67" s="1"/>
    </row>
    <row r="68" spans="4:6" x14ac:dyDescent="0.2">
      <c r="D68" s="1"/>
      <c r="E68" s="1"/>
      <c r="F68" s="1"/>
    </row>
    <row r="69" spans="4:6" x14ac:dyDescent="0.2">
      <c r="D69" s="1"/>
      <c r="E69" s="1"/>
      <c r="F69" s="1"/>
    </row>
    <row r="70" spans="4:6" x14ac:dyDescent="0.2">
      <c r="D70" s="1"/>
      <c r="E70" s="1"/>
      <c r="F70" s="1"/>
    </row>
    <row r="71" spans="4:6" x14ac:dyDescent="0.2">
      <c r="D71" s="1"/>
      <c r="E71" s="1"/>
      <c r="F71" s="1"/>
    </row>
    <row r="72" spans="4:6" x14ac:dyDescent="0.2">
      <c r="D72" s="1"/>
      <c r="E72" s="1"/>
      <c r="F72" s="1"/>
    </row>
    <row r="73" spans="4:6" x14ac:dyDescent="0.2">
      <c r="D73" s="1"/>
      <c r="E73" s="1"/>
      <c r="F7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1128-E49E-EC4A-A18A-67DF88C1A951}">
  <dimension ref="A1:K65"/>
  <sheetViews>
    <sheetView topLeftCell="A54" workbookViewId="0">
      <selection activeCell="B64" sqref="A64:B64"/>
    </sheetView>
  </sheetViews>
  <sheetFormatPr baseColWidth="10" defaultRowHeight="16" x14ac:dyDescent="0.2"/>
  <sheetData>
    <row r="1" spans="1:11" x14ac:dyDescent="0.2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45</v>
      </c>
      <c r="J1" t="s">
        <v>35</v>
      </c>
    </row>
    <row r="2" spans="1:11" x14ac:dyDescent="0.2">
      <c r="A2">
        <v>1</v>
      </c>
      <c r="B2" t="s">
        <v>0</v>
      </c>
      <c r="C2">
        <v>22</v>
      </c>
      <c r="D2" s="1">
        <v>62.79</v>
      </c>
      <c r="E2" s="1">
        <v>100</v>
      </c>
      <c r="F2" s="1">
        <v>87.75</v>
      </c>
      <c r="G2" s="2">
        <f>(F2-E2)/E2</f>
        <v>-0.1225</v>
      </c>
      <c r="H2" s="2"/>
      <c r="J2" t="s">
        <v>36</v>
      </c>
      <c r="K2" s="3">
        <f>AVERAGE(G2:G63)</f>
        <v>1.8515176978896146E-2</v>
      </c>
    </row>
    <row r="3" spans="1:11" x14ac:dyDescent="0.2">
      <c r="A3">
        <v>2</v>
      </c>
      <c r="B3" t="s">
        <v>1</v>
      </c>
      <c r="C3">
        <v>44</v>
      </c>
      <c r="D3" s="1">
        <v>72.97</v>
      </c>
      <c r="E3" s="1">
        <v>87.75</v>
      </c>
      <c r="F3" s="1">
        <v>88.41</v>
      </c>
      <c r="G3" s="2">
        <f t="shared" ref="G3:G59" si="0">(F3-E3)/E3</f>
        <v>7.5213675213674823E-3</v>
      </c>
      <c r="H3" s="2"/>
      <c r="J3" t="s">
        <v>39</v>
      </c>
      <c r="K3" s="2">
        <f>(F63/E2)^(1/A63)-1</f>
        <v>1.1088489843177562E-2</v>
      </c>
    </row>
    <row r="4" spans="1:11" x14ac:dyDescent="0.2">
      <c r="A4">
        <v>3</v>
      </c>
      <c r="B4" t="s">
        <v>2</v>
      </c>
      <c r="C4">
        <v>22</v>
      </c>
      <c r="D4" s="1">
        <v>75.22</v>
      </c>
      <c r="E4" s="1">
        <v>88.41</v>
      </c>
      <c r="F4" s="1">
        <v>81.99</v>
      </c>
      <c r="G4" s="2">
        <f t="shared" si="0"/>
        <v>-7.2616219884628463E-2</v>
      </c>
      <c r="H4" s="2"/>
    </row>
    <row r="5" spans="1:11" x14ac:dyDescent="0.2">
      <c r="A5">
        <v>4</v>
      </c>
      <c r="B5" t="s">
        <v>3</v>
      </c>
      <c r="C5">
        <v>47</v>
      </c>
      <c r="D5" s="1">
        <v>68.2</v>
      </c>
      <c r="E5" s="1">
        <v>81.99</v>
      </c>
      <c r="F5" s="1">
        <v>84.44</v>
      </c>
      <c r="G5" s="2">
        <f t="shared" si="0"/>
        <v>2.9881692889376789E-2</v>
      </c>
      <c r="H5" s="2"/>
    </row>
    <row r="6" spans="1:11" x14ac:dyDescent="0.2">
      <c r="A6">
        <v>5</v>
      </c>
      <c r="B6" t="s">
        <v>4</v>
      </c>
      <c r="C6">
        <v>24</v>
      </c>
      <c r="D6" s="1">
        <v>73.58</v>
      </c>
      <c r="E6" s="1">
        <v>84.44</v>
      </c>
      <c r="F6" s="1">
        <v>71.38</v>
      </c>
      <c r="G6" s="2">
        <f t="shared" si="0"/>
        <v>-0.15466603505447657</v>
      </c>
      <c r="H6" s="2"/>
    </row>
    <row r="7" spans="1:11" x14ac:dyDescent="0.2">
      <c r="A7">
        <v>6</v>
      </c>
      <c r="B7" t="s">
        <v>5</v>
      </c>
      <c r="C7">
        <v>44</v>
      </c>
      <c r="D7" s="1">
        <v>51.25</v>
      </c>
      <c r="E7" s="1">
        <v>71.38</v>
      </c>
      <c r="F7" s="1">
        <v>67.739999999999995</v>
      </c>
      <c r="G7" s="2">
        <f t="shared" si="0"/>
        <v>-5.0994676379938368E-2</v>
      </c>
      <c r="H7" s="2"/>
    </row>
    <row r="8" spans="1:11" x14ac:dyDescent="0.2">
      <c r="A8">
        <v>7</v>
      </c>
      <c r="B8" t="s">
        <v>6</v>
      </c>
      <c r="C8">
        <v>5</v>
      </c>
      <c r="D8" s="1">
        <v>11.5</v>
      </c>
      <c r="E8" s="1">
        <v>67.739999999999995</v>
      </c>
      <c r="F8" s="1">
        <v>78.260000000000005</v>
      </c>
      <c r="G8" s="2">
        <f t="shared" si="0"/>
        <v>0.15529967522881621</v>
      </c>
      <c r="H8" s="2">
        <f>(F8-E2)/E2</f>
        <v>-0.21739999999999995</v>
      </c>
    </row>
    <row r="9" spans="1:11" x14ac:dyDescent="0.2">
      <c r="A9">
        <v>8</v>
      </c>
      <c r="B9" t="s">
        <v>7</v>
      </c>
      <c r="C9">
        <v>7</v>
      </c>
      <c r="D9" s="1">
        <v>18.82</v>
      </c>
      <c r="E9" s="1">
        <v>78.260000000000005</v>
      </c>
      <c r="F9" s="1">
        <v>83.73</v>
      </c>
      <c r="G9" s="2">
        <f t="shared" si="0"/>
        <v>6.9895221058011742E-2</v>
      </c>
      <c r="H9" s="2">
        <f>(F9-E3)/E3</f>
        <v>-4.5811965811965769E-2</v>
      </c>
    </row>
    <row r="10" spans="1:11" x14ac:dyDescent="0.2">
      <c r="A10">
        <v>9</v>
      </c>
      <c r="B10" t="s">
        <v>8</v>
      </c>
      <c r="C10">
        <v>37</v>
      </c>
      <c r="D10" s="1">
        <v>47.85</v>
      </c>
      <c r="E10" s="1">
        <v>83.73</v>
      </c>
      <c r="F10" s="1">
        <v>75.14</v>
      </c>
      <c r="G10" s="2">
        <f t="shared" si="0"/>
        <v>-0.10259166368087905</v>
      </c>
      <c r="H10" s="2">
        <f t="shared" ref="H10:H59" si="1">(F10-E4)/E4</f>
        <v>-0.1500961429702522</v>
      </c>
    </row>
    <row r="11" spans="1:11" x14ac:dyDescent="0.2">
      <c r="A11">
        <v>10</v>
      </c>
      <c r="B11" t="s">
        <v>9</v>
      </c>
      <c r="C11">
        <v>6</v>
      </c>
      <c r="D11" s="1">
        <v>15.1</v>
      </c>
      <c r="E11" s="1">
        <v>75.14</v>
      </c>
      <c r="F11" s="1">
        <v>72.19</v>
      </c>
      <c r="G11" s="2">
        <f t="shared" si="0"/>
        <v>-3.9260047910566982E-2</v>
      </c>
      <c r="H11" s="2">
        <f t="shared" si="1"/>
        <v>-0.11952677155750699</v>
      </c>
    </row>
    <row r="12" spans="1:11" x14ac:dyDescent="0.2">
      <c r="A12">
        <v>11</v>
      </c>
      <c r="B12" t="s">
        <v>10</v>
      </c>
      <c r="C12">
        <v>36</v>
      </c>
      <c r="D12" s="1">
        <v>61.58</v>
      </c>
      <c r="E12" s="1">
        <v>72.19</v>
      </c>
      <c r="F12" s="1">
        <v>83.64</v>
      </c>
      <c r="G12" s="2">
        <f t="shared" si="0"/>
        <v>0.15860922565452285</v>
      </c>
      <c r="H12" s="2">
        <f t="shared" si="1"/>
        <v>-9.4741828517290044E-3</v>
      </c>
    </row>
    <row r="13" spans="1:11" x14ac:dyDescent="0.2">
      <c r="A13">
        <v>12</v>
      </c>
      <c r="B13" t="s">
        <v>11</v>
      </c>
      <c r="C13">
        <v>21</v>
      </c>
      <c r="D13" s="1">
        <v>45.37</v>
      </c>
      <c r="E13" s="1">
        <v>83.64</v>
      </c>
      <c r="F13" s="1">
        <v>99.3</v>
      </c>
      <c r="G13" s="2">
        <f t="shared" si="0"/>
        <v>0.18723098995695836</v>
      </c>
      <c r="H13" s="2">
        <f t="shared" si="1"/>
        <v>0.39114597926590083</v>
      </c>
    </row>
    <row r="14" spans="1:11" x14ac:dyDescent="0.2">
      <c r="A14">
        <v>13</v>
      </c>
      <c r="B14" t="s">
        <v>12</v>
      </c>
      <c r="C14">
        <v>45</v>
      </c>
      <c r="D14" s="1">
        <v>82.53</v>
      </c>
      <c r="E14" s="1">
        <v>99.3</v>
      </c>
      <c r="F14" s="1">
        <v>112.66</v>
      </c>
      <c r="G14" s="2">
        <f t="shared" si="0"/>
        <v>0.13454179254783485</v>
      </c>
      <c r="H14" s="2">
        <f t="shared" si="1"/>
        <v>0.66312370829642764</v>
      </c>
    </row>
    <row r="15" spans="1:11" x14ac:dyDescent="0.2">
      <c r="A15">
        <v>14</v>
      </c>
      <c r="B15" t="s">
        <v>13</v>
      </c>
      <c r="C15">
        <v>29</v>
      </c>
      <c r="D15" s="1">
        <v>94.71</v>
      </c>
      <c r="E15" s="1">
        <v>112.66</v>
      </c>
      <c r="F15" s="1">
        <v>115.67</v>
      </c>
      <c r="G15" s="2">
        <f t="shared" si="0"/>
        <v>2.6717557251908441E-2</v>
      </c>
      <c r="H15" s="2">
        <f t="shared" si="1"/>
        <v>0.47802197802197793</v>
      </c>
    </row>
    <row r="16" spans="1:11" x14ac:dyDescent="0.2">
      <c r="A16">
        <v>15</v>
      </c>
      <c r="B16" t="s">
        <v>14</v>
      </c>
      <c r="C16">
        <v>38</v>
      </c>
      <c r="D16" s="1">
        <v>99.7</v>
      </c>
      <c r="E16" s="1">
        <v>115.67</v>
      </c>
      <c r="F16" s="1">
        <v>105.55</v>
      </c>
      <c r="G16" s="2">
        <f t="shared" si="0"/>
        <v>-8.7490274055502762E-2</v>
      </c>
      <c r="H16" s="2">
        <f t="shared" si="1"/>
        <v>0.26059954616027697</v>
      </c>
    </row>
    <row r="17" spans="1:8" x14ac:dyDescent="0.2">
      <c r="A17">
        <v>16</v>
      </c>
      <c r="B17" t="s">
        <v>15</v>
      </c>
      <c r="C17">
        <v>41</v>
      </c>
      <c r="D17" s="1">
        <v>95.11</v>
      </c>
      <c r="E17" s="1">
        <v>105.55</v>
      </c>
      <c r="F17" s="1">
        <v>127.04</v>
      </c>
      <c r="G17" s="2">
        <f t="shared" si="0"/>
        <v>0.20360018948365713</v>
      </c>
      <c r="H17" s="2">
        <f t="shared" si="1"/>
        <v>0.69071067340963543</v>
      </c>
    </row>
    <row r="18" spans="1:8" x14ac:dyDescent="0.2">
      <c r="A18">
        <v>17</v>
      </c>
      <c r="B18" t="s">
        <v>16</v>
      </c>
      <c r="C18">
        <v>41</v>
      </c>
      <c r="D18" s="1">
        <v>121.33</v>
      </c>
      <c r="E18" s="1">
        <v>127.04</v>
      </c>
      <c r="F18" s="1">
        <v>129.18</v>
      </c>
      <c r="G18" s="2">
        <f t="shared" si="0"/>
        <v>1.6845088161209072E-2</v>
      </c>
      <c r="H18" s="2">
        <f t="shared" si="1"/>
        <v>0.78944452140185639</v>
      </c>
    </row>
    <row r="19" spans="1:8" x14ac:dyDescent="0.2">
      <c r="A19">
        <v>18</v>
      </c>
      <c r="B19" t="s">
        <v>17</v>
      </c>
      <c r="C19">
        <v>41</v>
      </c>
      <c r="D19" s="1">
        <v>125.1</v>
      </c>
      <c r="E19" s="1">
        <v>129.18</v>
      </c>
      <c r="F19" s="1">
        <v>132.79</v>
      </c>
      <c r="G19" s="2">
        <f t="shared" si="0"/>
        <v>2.7945502399752169E-2</v>
      </c>
      <c r="H19" s="2">
        <f t="shared" si="1"/>
        <v>0.58763749402199894</v>
      </c>
    </row>
    <row r="20" spans="1:8" x14ac:dyDescent="0.2">
      <c r="A20">
        <v>19</v>
      </c>
      <c r="B20" t="s">
        <v>18</v>
      </c>
      <c r="C20">
        <v>37</v>
      </c>
      <c r="D20" s="1">
        <v>123.3</v>
      </c>
      <c r="E20" s="1">
        <v>132.79</v>
      </c>
      <c r="F20" s="1">
        <v>120.32</v>
      </c>
      <c r="G20" s="2">
        <f t="shared" si="0"/>
        <v>-9.3907673770615249E-2</v>
      </c>
      <c r="H20" s="2">
        <f t="shared" si="1"/>
        <v>0.21168177240684791</v>
      </c>
    </row>
    <row r="21" spans="1:8" x14ac:dyDescent="0.2">
      <c r="A21">
        <v>20</v>
      </c>
      <c r="B21" t="s">
        <v>19</v>
      </c>
      <c r="C21">
        <v>44</v>
      </c>
      <c r="D21" s="1">
        <v>101.57</v>
      </c>
      <c r="E21" s="1">
        <v>120.32</v>
      </c>
      <c r="F21" s="1">
        <v>109.64</v>
      </c>
      <c r="G21" s="2">
        <f t="shared" si="0"/>
        <v>-8.8763297872340371E-2</v>
      </c>
      <c r="H21" s="2">
        <f t="shared" si="1"/>
        <v>-2.6806319900585799E-2</v>
      </c>
    </row>
    <row r="22" spans="1:8" x14ac:dyDescent="0.2">
      <c r="A22">
        <v>21</v>
      </c>
      <c r="B22" t="s">
        <v>20</v>
      </c>
      <c r="C22">
        <v>23</v>
      </c>
      <c r="D22" s="1">
        <v>89.36</v>
      </c>
      <c r="E22" s="1">
        <v>109.64</v>
      </c>
      <c r="F22" s="1">
        <v>121.19</v>
      </c>
      <c r="G22" s="2">
        <f t="shared" si="0"/>
        <v>0.10534476468442172</v>
      </c>
      <c r="H22" s="2">
        <f t="shared" si="1"/>
        <v>4.7721967666637811E-2</v>
      </c>
    </row>
    <row r="23" spans="1:8" x14ac:dyDescent="0.2">
      <c r="A23">
        <v>22</v>
      </c>
      <c r="B23" t="s">
        <v>21</v>
      </c>
      <c r="C23">
        <v>15</v>
      </c>
      <c r="D23" s="1">
        <v>44.36</v>
      </c>
      <c r="E23" s="1">
        <v>121.19</v>
      </c>
      <c r="F23" s="1">
        <v>125.18</v>
      </c>
      <c r="G23" s="2">
        <f t="shared" si="0"/>
        <v>3.2923508540308684E-2</v>
      </c>
      <c r="H23" s="2">
        <f t="shared" si="1"/>
        <v>0.18597820937944112</v>
      </c>
    </row>
    <row r="24" spans="1:8" x14ac:dyDescent="0.2">
      <c r="A24">
        <v>23</v>
      </c>
      <c r="B24" t="s">
        <v>22</v>
      </c>
      <c r="C24">
        <v>42</v>
      </c>
      <c r="D24" s="1">
        <v>95.19</v>
      </c>
      <c r="E24" s="1">
        <v>125.18</v>
      </c>
      <c r="F24" s="1">
        <v>127.49</v>
      </c>
      <c r="G24" s="2">
        <f t="shared" si="0"/>
        <v>1.8453427065026267E-2</v>
      </c>
      <c r="H24" s="2">
        <f t="shared" si="1"/>
        <v>3.5421914357681725E-3</v>
      </c>
    </row>
    <row r="25" spans="1:8" x14ac:dyDescent="0.2">
      <c r="A25">
        <v>24</v>
      </c>
      <c r="B25" t="s">
        <v>23</v>
      </c>
      <c r="C25">
        <v>18</v>
      </c>
      <c r="D25" s="1">
        <v>62.71</v>
      </c>
      <c r="E25" s="1">
        <v>127.49</v>
      </c>
      <c r="F25" s="1">
        <v>135.88</v>
      </c>
      <c r="G25" s="2">
        <f t="shared" si="0"/>
        <v>6.5809083065338461E-2</v>
      </c>
      <c r="H25" s="2">
        <f t="shared" si="1"/>
        <v>5.1865613872116335E-2</v>
      </c>
    </row>
    <row r="26" spans="1:8" x14ac:dyDescent="0.2">
      <c r="A26">
        <v>25</v>
      </c>
      <c r="B26" t="s">
        <v>24</v>
      </c>
      <c r="C26">
        <v>48</v>
      </c>
      <c r="D26" s="1">
        <v>106.19</v>
      </c>
      <c r="E26" s="1">
        <v>135.88</v>
      </c>
      <c r="F26" s="1">
        <v>167.26</v>
      </c>
      <c r="G26" s="2">
        <f t="shared" si="0"/>
        <v>0.23093906387989399</v>
      </c>
      <c r="H26" s="2">
        <f t="shared" si="1"/>
        <v>0.25958279990963173</v>
      </c>
    </row>
    <row r="27" spans="1:8" x14ac:dyDescent="0.2">
      <c r="A27">
        <v>26</v>
      </c>
      <c r="B27" t="s">
        <v>25</v>
      </c>
      <c r="C27">
        <v>20</v>
      </c>
      <c r="D27" s="1">
        <v>94.33</v>
      </c>
      <c r="E27" s="1">
        <v>167.26</v>
      </c>
      <c r="F27" s="1">
        <v>195.67</v>
      </c>
      <c r="G27" s="2">
        <f t="shared" si="0"/>
        <v>0.16985531507832116</v>
      </c>
      <c r="H27" s="2">
        <f t="shared" si="1"/>
        <v>0.62624667553191493</v>
      </c>
    </row>
    <row r="28" spans="1:8" x14ac:dyDescent="0.2">
      <c r="A28">
        <v>27</v>
      </c>
      <c r="B28" t="s">
        <v>26</v>
      </c>
      <c r="C28">
        <v>42</v>
      </c>
      <c r="D28" s="1">
        <v>154.69999999999999</v>
      </c>
      <c r="E28" s="1">
        <v>195.67</v>
      </c>
      <c r="F28" s="1">
        <v>219.41</v>
      </c>
      <c r="G28" s="2">
        <f t="shared" si="0"/>
        <v>0.12132672356518634</v>
      </c>
      <c r="H28" s="2">
        <f t="shared" si="1"/>
        <v>1.0011856986501277</v>
      </c>
    </row>
    <row r="29" spans="1:8" x14ac:dyDescent="0.2">
      <c r="A29">
        <v>28</v>
      </c>
      <c r="B29" t="s">
        <v>27</v>
      </c>
      <c r="C29">
        <v>21</v>
      </c>
      <c r="D29" s="1">
        <v>129.29</v>
      </c>
      <c r="E29" s="1">
        <v>219.41</v>
      </c>
      <c r="F29" s="1">
        <v>177.39</v>
      </c>
      <c r="G29" s="2">
        <f t="shared" si="0"/>
        <v>-0.19151360466706172</v>
      </c>
      <c r="H29" s="2">
        <f t="shared" si="1"/>
        <v>0.46373463157026151</v>
      </c>
    </row>
    <row r="30" spans="1:8" x14ac:dyDescent="0.2">
      <c r="A30">
        <v>29</v>
      </c>
      <c r="B30" t="s">
        <v>28</v>
      </c>
      <c r="C30">
        <v>24</v>
      </c>
      <c r="D30" s="1">
        <v>151.56</v>
      </c>
      <c r="E30" s="1">
        <v>177.39</v>
      </c>
      <c r="F30" s="1">
        <v>204.26</v>
      </c>
      <c r="G30" s="2">
        <f t="shared" si="0"/>
        <v>0.15147415299622305</v>
      </c>
      <c r="H30" s="2">
        <f t="shared" si="1"/>
        <v>0.63173030835596722</v>
      </c>
    </row>
    <row r="31" spans="1:8" x14ac:dyDescent="0.2">
      <c r="A31">
        <v>30</v>
      </c>
      <c r="B31" s="4">
        <v>45608</v>
      </c>
      <c r="C31">
        <v>35</v>
      </c>
      <c r="D31" s="1">
        <v>198.09</v>
      </c>
      <c r="E31" s="1">
        <v>204.26</v>
      </c>
      <c r="F31" s="1">
        <v>203.97</v>
      </c>
      <c r="G31" s="2">
        <f t="shared" si="0"/>
        <v>-1.4197591305198866E-3</v>
      </c>
      <c r="H31" s="2">
        <f t="shared" si="1"/>
        <v>0.59989018746568368</v>
      </c>
    </row>
    <row r="32" spans="1:8" x14ac:dyDescent="0.2">
      <c r="A32">
        <v>31</v>
      </c>
      <c r="B32" s="4">
        <v>45609</v>
      </c>
      <c r="C32">
        <v>27</v>
      </c>
      <c r="D32" s="1">
        <v>154.91</v>
      </c>
      <c r="E32" s="1">
        <v>203.97</v>
      </c>
      <c r="F32" s="1">
        <v>200.35</v>
      </c>
      <c r="G32" s="2">
        <f t="shared" si="0"/>
        <v>-1.7747707996273985E-2</v>
      </c>
      <c r="H32" s="2">
        <f t="shared" si="1"/>
        <v>0.47446276125993525</v>
      </c>
    </row>
    <row r="33" spans="1:8" x14ac:dyDescent="0.2">
      <c r="A33">
        <v>32</v>
      </c>
      <c r="B33" s="4">
        <v>45610</v>
      </c>
      <c r="C33">
        <v>25</v>
      </c>
      <c r="D33" s="1">
        <v>180.83</v>
      </c>
      <c r="E33" s="1">
        <v>200.35</v>
      </c>
      <c r="F33" s="1">
        <v>222.21</v>
      </c>
      <c r="G33" s="2">
        <f t="shared" si="0"/>
        <v>0.1091090591464937</v>
      </c>
      <c r="H33" s="2">
        <f t="shared" si="1"/>
        <v>0.32853043166327883</v>
      </c>
    </row>
    <row r="34" spans="1:8" x14ac:dyDescent="0.2">
      <c r="A34">
        <v>33</v>
      </c>
      <c r="B34" s="4">
        <v>45611</v>
      </c>
      <c r="C34">
        <v>20</v>
      </c>
      <c r="D34" s="1">
        <v>174.76</v>
      </c>
      <c r="E34" s="1">
        <v>222.21</v>
      </c>
      <c r="F34" s="1">
        <v>214.93</v>
      </c>
      <c r="G34" s="2">
        <f t="shared" si="0"/>
        <v>-3.2761801899104458E-2</v>
      </c>
      <c r="H34" s="2">
        <f t="shared" si="1"/>
        <v>9.8431031839321406E-2</v>
      </c>
    </row>
    <row r="35" spans="1:8" x14ac:dyDescent="0.2">
      <c r="A35">
        <v>34</v>
      </c>
      <c r="B35" s="4">
        <v>45612</v>
      </c>
      <c r="C35">
        <v>43</v>
      </c>
      <c r="D35" s="1">
        <v>169.67</v>
      </c>
      <c r="E35" s="1">
        <v>214.93</v>
      </c>
      <c r="F35" s="1">
        <v>258.95</v>
      </c>
      <c r="G35" s="2">
        <f t="shared" si="0"/>
        <v>0.2048108686549108</v>
      </c>
      <c r="H35" s="2">
        <f t="shared" si="1"/>
        <v>0.18021056469623076</v>
      </c>
    </row>
    <row r="36" spans="1:8" x14ac:dyDescent="0.2">
      <c r="A36">
        <v>35</v>
      </c>
      <c r="B36" s="4">
        <v>45613</v>
      </c>
      <c r="C36">
        <v>31</v>
      </c>
      <c r="D36" s="1">
        <v>212.86</v>
      </c>
      <c r="E36" s="1">
        <v>258.95</v>
      </c>
      <c r="F36" s="1">
        <v>285.94</v>
      </c>
      <c r="G36" s="2">
        <f t="shared" si="0"/>
        <v>0.10422861556285001</v>
      </c>
      <c r="H36" s="2">
        <f t="shared" si="1"/>
        <v>0.61192851908224821</v>
      </c>
    </row>
    <row r="37" spans="1:8" x14ac:dyDescent="0.2">
      <c r="A37">
        <v>36</v>
      </c>
      <c r="B37" s="4">
        <v>45614</v>
      </c>
      <c r="C37">
        <v>35</v>
      </c>
      <c r="D37" s="1">
        <v>278.22000000000003</v>
      </c>
      <c r="E37" s="1">
        <v>285.94</v>
      </c>
      <c r="F37" s="1">
        <v>314.88</v>
      </c>
      <c r="G37" s="2">
        <f t="shared" si="0"/>
        <v>0.10121004406518849</v>
      </c>
      <c r="H37" s="2">
        <f t="shared" si="1"/>
        <v>0.54156467247625584</v>
      </c>
    </row>
    <row r="38" spans="1:8" x14ac:dyDescent="0.2">
      <c r="A38">
        <v>37</v>
      </c>
      <c r="B38" s="4">
        <v>45615</v>
      </c>
      <c r="C38">
        <v>40</v>
      </c>
      <c r="D38" s="1">
        <v>297.77</v>
      </c>
      <c r="E38" s="1">
        <v>314.88</v>
      </c>
      <c r="F38" s="1">
        <v>308.19</v>
      </c>
      <c r="G38" s="2">
        <f t="shared" si="0"/>
        <v>-2.1246189024390238E-2</v>
      </c>
      <c r="H38" s="2">
        <f t="shared" si="1"/>
        <v>0.51095749374908073</v>
      </c>
    </row>
    <row r="39" spans="1:8" x14ac:dyDescent="0.2">
      <c r="B39" s="4"/>
      <c r="D39" s="1"/>
      <c r="E39" s="1"/>
      <c r="F39" s="1"/>
      <c r="G39" s="2"/>
      <c r="H39" s="2"/>
    </row>
    <row r="40" spans="1:8" x14ac:dyDescent="0.2">
      <c r="A40">
        <v>39</v>
      </c>
      <c r="B40" s="4">
        <v>45616</v>
      </c>
      <c r="C40">
        <v>33</v>
      </c>
      <c r="D40" s="1">
        <v>279.82</v>
      </c>
      <c r="E40" s="1">
        <v>308.19</v>
      </c>
      <c r="F40" s="1">
        <v>331.98</v>
      </c>
      <c r="G40" s="2">
        <f t="shared" si="0"/>
        <v>7.719264090333891E-2</v>
      </c>
      <c r="H40" s="2">
        <f t="shared" si="1"/>
        <v>0.49399216956932634</v>
      </c>
    </row>
    <row r="41" spans="1:8" x14ac:dyDescent="0.2">
      <c r="A41">
        <v>40</v>
      </c>
      <c r="B41" s="4">
        <v>45617</v>
      </c>
      <c r="C41">
        <v>45</v>
      </c>
      <c r="D41" s="1">
        <v>299.48</v>
      </c>
      <c r="E41" s="1">
        <v>331.98</v>
      </c>
      <c r="F41" s="1">
        <v>247.41</v>
      </c>
      <c r="G41" s="2">
        <f t="shared" si="0"/>
        <v>-0.25474426170251224</v>
      </c>
      <c r="H41" s="2">
        <f t="shared" si="1"/>
        <v>0.15111896896664026</v>
      </c>
    </row>
    <row r="42" spans="1:8" x14ac:dyDescent="0.2">
      <c r="A42">
        <v>41</v>
      </c>
      <c r="B42" s="4">
        <v>45618</v>
      </c>
      <c r="C42">
        <v>6</v>
      </c>
      <c r="D42" s="1">
        <v>52.14</v>
      </c>
      <c r="E42" s="1">
        <v>247.41</v>
      </c>
      <c r="F42" s="1">
        <v>228.05</v>
      </c>
      <c r="G42" s="2">
        <f t="shared" si="0"/>
        <v>-7.8250677013863568E-2</v>
      </c>
      <c r="H42" s="2">
        <f t="shared" si="1"/>
        <v>-0.11932805560919088</v>
      </c>
    </row>
    <row r="43" spans="1:8" x14ac:dyDescent="0.2">
      <c r="A43">
        <v>42</v>
      </c>
      <c r="B43" s="4">
        <v>45619</v>
      </c>
      <c r="C43">
        <v>46</v>
      </c>
      <c r="D43" s="1">
        <v>172.07</v>
      </c>
      <c r="E43" s="1">
        <v>228.05</v>
      </c>
      <c r="F43" s="1">
        <v>230.34</v>
      </c>
      <c r="G43" s="2">
        <f t="shared" si="0"/>
        <v>1.0041657531243113E-2</v>
      </c>
      <c r="H43" s="2">
        <f t="shared" si="1"/>
        <v>-0.19444638735399034</v>
      </c>
    </row>
    <row r="44" spans="1:8" x14ac:dyDescent="0.2">
      <c r="A44">
        <v>43</v>
      </c>
      <c r="B44" s="4">
        <v>45620</v>
      </c>
      <c r="C44">
        <v>4</v>
      </c>
      <c r="D44" s="1">
        <v>31.31</v>
      </c>
      <c r="E44" s="1">
        <v>230.34</v>
      </c>
      <c r="F44" s="1">
        <v>258.63</v>
      </c>
      <c r="G44" s="2">
        <f t="shared" si="0"/>
        <v>0.12281844230268295</v>
      </c>
      <c r="H44" s="2">
        <f t="shared" si="1"/>
        <v>-0.17863948170731708</v>
      </c>
    </row>
    <row r="45" spans="1:8" x14ac:dyDescent="0.2">
      <c r="A45">
        <v>44</v>
      </c>
      <c r="B45" s="4">
        <v>45621</v>
      </c>
      <c r="C45">
        <v>41</v>
      </c>
      <c r="D45" s="1">
        <v>210.99</v>
      </c>
      <c r="E45" s="1">
        <v>258.63</v>
      </c>
      <c r="F45" s="1">
        <v>187.06</v>
      </c>
      <c r="G45" s="2">
        <f t="shared" si="0"/>
        <v>-0.27672737114797197</v>
      </c>
      <c r="H45" s="2"/>
    </row>
    <row r="46" spans="1:8" x14ac:dyDescent="0.2">
      <c r="A46">
        <v>45</v>
      </c>
      <c r="B46" s="4">
        <v>45622</v>
      </c>
      <c r="C46">
        <v>13</v>
      </c>
      <c r="D46" s="1">
        <v>86.6</v>
      </c>
      <c r="E46" s="1">
        <v>187.06</v>
      </c>
      <c r="F46" s="1">
        <v>198.2</v>
      </c>
      <c r="G46" s="2">
        <f t="shared" si="0"/>
        <v>5.9553084571795076E-2</v>
      </c>
      <c r="H46" s="2">
        <f t="shared" si="1"/>
        <v>-0.3568902300528895</v>
      </c>
    </row>
    <row r="47" spans="1:8" x14ac:dyDescent="0.2">
      <c r="A47">
        <v>46</v>
      </c>
      <c r="B47" s="4">
        <v>45625</v>
      </c>
      <c r="C47">
        <v>42</v>
      </c>
      <c r="D47" s="1">
        <v>165.88</v>
      </c>
      <c r="E47" s="1">
        <v>210.89</v>
      </c>
      <c r="F47" s="1">
        <v>186.95</v>
      </c>
      <c r="G47" s="2">
        <f t="shared" si="0"/>
        <v>-0.1135188961069752</v>
      </c>
      <c r="H47" s="2">
        <f t="shared" si="1"/>
        <v>-0.43686366648593294</v>
      </c>
    </row>
    <row r="48" spans="1:8" x14ac:dyDescent="0.2">
      <c r="A48">
        <v>47</v>
      </c>
      <c r="B48" s="4">
        <v>45626</v>
      </c>
      <c r="C48">
        <v>39</v>
      </c>
      <c r="D48" s="1">
        <v>135.57</v>
      </c>
      <c r="E48" s="1">
        <v>186.95</v>
      </c>
      <c r="F48" s="1">
        <v>188.97</v>
      </c>
      <c r="G48" s="2">
        <f t="shared" si="0"/>
        <v>1.0805028082375021E-2</v>
      </c>
      <c r="H48" s="2">
        <f t="shared" si="1"/>
        <v>-0.23620710561416272</v>
      </c>
    </row>
    <row r="49" spans="1:8" x14ac:dyDescent="0.2">
      <c r="A49">
        <v>48</v>
      </c>
      <c r="B49" s="4">
        <v>45627</v>
      </c>
      <c r="C49">
        <v>30</v>
      </c>
      <c r="D49" s="1">
        <v>181.85</v>
      </c>
      <c r="E49" s="1">
        <v>188.97</v>
      </c>
      <c r="F49" s="1">
        <v>145.91</v>
      </c>
      <c r="G49" s="2">
        <f t="shared" si="0"/>
        <v>-0.22786685717309627</v>
      </c>
      <c r="H49" s="2">
        <f t="shared" si="1"/>
        <v>-0.36018417013812765</v>
      </c>
    </row>
    <row r="50" spans="1:8" x14ac:dyDescent="0.2">
      <c r="A50">
        <v>49</v>
      </c>
      <c r="B50" s="4">
        <v>45628</v>
      </c>
      <c r="C50">
        <v>21</v>
      </c>
      <c r="D50" s="1">
        <v>100.78</v>
      </c>
      <c r="E50" s="1">
        <v>145.91</v>
      </c>
      <c r="F50" s="1">
        <v>108.15</v>
      </c>
      <c r="G50" s="2">
        <f t="shared" si="0"/>
        <v>-0.25878966486190114</v>
      </c>
      <c r="H50" s="2">
        <f t="shared" si="1"/>
        <v>-0.53047668663714509</v>
      </c>
    </row>
    <row r="51" spans="1:8" x14ac:dyDescent="0.2">
      <c r="A51">
        <v>50</v>
      </c>
      <c r="B51" s="4">
        <v>45629</v>
      </c>
      <c r="C51">
        <v>44</v>
      </c>
      <c r="D51" s="1">
        <v>95.54</v>
      </c>
      <c r="E51" s="1">
        <v>108.15</v>
      </c>
      <c r="F51" s="1">
        <v>146.27000000000001</v>
      </c>
      <c r="G51" s="2">
        <f t="shared" si="0"/>
        <v>0.35247341655108649</v>
      </c>
      <c r="H51" s="2">
        <f t="shared" si="1"/>
        <v>-0.43444302671770479</v>
      </c>
    </row>
    <row r="52" spans="1:8" x14ac:dyDescent="0.2">
      <c r="A52">
        <v>51</v>
      </c>
      <c r="B52" s="4">
        <v>45630</v>
      </c>
      <c r="C52">
        <v>25</v>
      </c>
      <c r="D52" s="1">
        <v>105.4</v>
      </c>
      <c r="E52" s="1">
        <v>146.27000000000001</v>
      </c>
      <c r="F52" s="1">
        <v>157.76</v>
      </c>
      <c r="G52" s="2">
        <f t="shared" si="0"/>
        <v>7.8553360224242696E-2</v>
      </c>
      <c r="H52" s="2">
        <f t="shared" si="1"/>
        <v>-0.15663423500481136</v>
      </c>
    </row>
    <row r="53" spans="1:8" x14ac:dyDescent="0.2">
      <c r="A53">
        <v>52</v>
      </c>
      <c r="B53" s="4">
        <v>45631</v>
      </c>
      <c r="C53">
        <v>47</v>
      </c>
      <c r="D53" s="1">
        <v>147.47999999999999</v>
      </c>
      <c r="E53" s="1">
        <v>157.76</v>
      </c>
      <c r="F53" s="1">
        <v>177.23</v>
      </c>
      <c r="G53" s="2">
        <f t="shared" si="0"/>
        <v>0.12341531440162272</v>
      </c>
      <c r="H53" s="2">
        <f t="shared" si="1"/>
        <v>-0.1596092749774764</v>
      </c>
    </row>
    <row r="54" spans="1:8" x14ac:dyDescent="0.2">
      <c r="A54">
        <v>53</v>
      </c>
      <c r="B54" s="4">
        <v>45632</v>
      </c>
      <c r="C54">
        <v>32</v>
      </c>
      <c r="D54" s="1">
        <v>159.97</v>
      </c>
      <c r="E54" s="1">
        <v>177.23</v>
      </c>
      <c r="F54" s="1">
        <v>154.32</v>
      </c>
      <c r="G54" s="2">
        <f t="shared" si="0"/>
        <v>-0.1292670541104779</v>
      </c>
      <c r="H54" s="2">
        <f t="shared" si="1"/>
        <v>-0.1745386466969778</v>
      </c>
    </row>
    <row r="55" spans="1:8" x14ac:dyDescent="0.2">
      <c r="A55">
        <v>54</v>
      </c>
      <c r="B55" s="4">
        <v>45633</v>
      </c>
      <c r="C55">
        <v>49</v>
      </c>
      <c r="D55" s="1">
        <v>127.75</v>
      </c>
      <c r="E55" s="1">
        <v>154.32</v>
      </c>
      <c r="F55" s="1">
        <v>148.77000000000001</v>
      </c>
      <c r="G55" s="2">
        <f t="shared" si="0"/>
        <v>-3.5964230171072989E-2</v>
      </c>
      <c r="H55" s="2">
        <f t="shared" si="1"/>
        <v>-0.2127321797110652</v>
      </c>
    </row>
    <row r="56" spans="1:8" x14ac:dyDescent="0.2">
      <c r="A56">
        <v>55</v>
      </c>
      <c r="B56" s="4">
        <v>45634</v>
      </c>
      <c r="C56">
        <v>25</v>
      </c>
      <c r="D56" s="1">
        <v>134.54</v>
      </c>
      <c r="E56" s="1">
        <v>148.77000000000001</v>
      </c>
      <c r="F56" s="1">
        <v>176.07</v>
      </c>
      <c r="G56" s="2">
        <f t="shared" si="0"/>
        <v>0.18350473885864071</v>
      </c>
      <c r="H56" s="2">
        <f t="shared" si="1"/>
        <v>0.20670276197656087</v>
      </c>
    </row>
    <row r="57" spans="1:8" x14ac:dyDescent="0.2">
      <c r="A57">
        <v>56</v>
      </c>
      <c r="B57" s="4">
        <v>45635</v>
      </c>
      <c r="C57">
        <v>18</v>
      </c>
      <c r="D57" s="1">
        <v>95.17</v>
      </c>
      <c r="E57" s="1">
        <v>176.07</v>
      </c>
      <c r="F57" s="1">
        <v>170.93</v>
      </c>
      <c r="G57" s="2">
        <f t="shared" si="0"/>
        <v>-2.9192934628272771E-2</v>
      </c>
      <c r="H57" s="2">
        <f t="shared" si="1"/>
        <v>0.58049006010171056</v>
      </c>
    </row>
    <row r="58" spans="1:8" x14ac:dyDescent="0.2">
      <c r="A58">
        <v>57</v>
      </c>
      <c r="B58" s="4">
        <v>45636</v>
      </c>
      <c r="C58">
        <v>41</v>
      </c>
      <c r="D58" s="1">
        <v>129.63</v>
      </c>
      <c r="E58" s="1">
        <v>170.93</v>
      </c>
      <c r="F58" s="1">
        <v>187.36</v>
      </c>
      <c r="G58" s="2">
        <f t="shared" si="0"/>
        <v>9.6121219212543185E-2</v>
      </c>
      <c r="H58" s="2">
        <f t="shared" si="1"/>
        <v>0.28091884870445066</v>
      </c>
    </row>
    <row r="59" spans="1:8" x14ac:dyDescent="0.2">
      <c r="A59">
        <v>58</v>
      </c>
      <c r="B59" s="4">
        <v>45637</v>
      </c>
      <c r="C59">
        <v>15</v>
      </c>
      <c r="D59" s="1">
        <v>70.56</v>
      </c>
      <c r="E59" s="1">
        <v>187.36</v>
      </c>
      <c r="F59" s="1">
        <v>195.07</v>
      </c>
      <c r="G59" s="2">
        <f t="shared" si="0"/>
        <v>4.1150725875320128E-2</v>
      </c>
      <c r="H59" s="2">
        <f t="shared" si="1"/>
        <v>0.23649847870182558</v>
      </c>
    </row>
    <row r="60" spans="1:8" x14ac:dyDescent="0.2">
      <c r="A60">
        <v>59</v>
      </c>
      <c r="B60" s="4">
        <v>45638</v>
      </c>
      <c r="C60">
        <v>40</v>
      </c>
      <c r="D60" s="1">
        <v>128.83000000000001</v>
      </c>
      <c r="E60" s="1">
        <v>195.07</v>
      </c>
      <c r="F60" s="1">
        <v>210.04</v>
      </c>
      <c r="G60" s="2">
        <f t="shared" ref="G60" si="2">(F60-E60)/E60</f>
        <v>7.6741682472958428E-2</v>
      </c>
      <c r="H60" s="2">
        <f t="shared" ref="H60" si="3">(F60-E54)/E54</f>
        <v>0.18512667155673421</v>
      </c>
    </row>
    <row r="61" spans="1:8" x14ac:dyDescent="0.2">
      <c r="A61">
        <v>60</v>
      </c>
      <c r="B61" s="4">
        <v>45639</v>
      </c>
      <c r="C61">
        <v>8</v>
      </c>
      <c r="D61" s="1">
        <v>31.12</v>
      </c>
      <c r="E61" s="1">
        <v>210.04</v>
      </c>
      <c r="F61" s="1">
        <v>194.56</v>
      </c>
      <c r="G61" s="2">
        <f t="shared" ref="G61:G62" si="4">(F61-E61)/E61</f>
        <v>-7.3700247571891017E-2</v>
      </c>
      <c r="H61" s="2">
        <f t="shared" ref="H61:H62" si="5">(F61-E55)/E55</f>
        <v>0.26075686884396065</v>
      </c>
    </row>
    <row r="62" spans="1:8" x14ac:dyDescent="0.2">
      <c r="A62">
        <v>61</v>
      </c>
      <c r="B62" s="4">
        <v>45640</v>
      </c>
      <c r="C62">
        <v>38</v>
      </c>
      <c r="D62" s="1">
        <v>113.11</v>
      </c>
      <c r="E62" s="1">
        <v>194.56</v>
      </c>
      <c r="F62" s="1">
        <v>190.99</v>
      </c>
      <c r="G62" s="2">
        <f t="shared" si="4"/>
        <v>-1.8349095394736809E-2</v>
      </c>
      <c r="H62" s="2">
        <f t="shared" si="5"/>
        <v>0.28379377562680647</v>
      </c>
    </row>
    <row r="63" spans="1:8" x14ac:dyDescent="0.2">
      <c r="A63">
        <v>62</v>
      </c>
      <c r="B63" s="4">
        <v>45641</v>
      </c>
      <c r="C63">
        <v>27</v>
      </c>
      <c r="D63" s="1">
        <v>161.56</v>
      </c>
      <c r="E63" s="1">
        <v>190.99</v>
      </c>
      <c r="F63" s="1">
        <v>198.12</v>
      </c>
      <c r="G63" s="2">
        <f t="shared" ref="G63" si="6">(F63-E63)/E63</f>
        <v>3.7331797476307632E-2</v>
      </c>
      <c r="H63" s="2">
        <f t="shared" ref="H63" si="7">(F63-E57)/E57</f>
        <v>0.12523428181973087</v>
      </c>
    </row>
    <row r="64" spans="1:8" x14ac:dyDescent="0.2">
      <c r="A64">
        <v>63</v>
      </c>
      <c r="B64" s="4">
        <v>45642</v>
      </c>
      <c r="C64">
        <v>19</v>
      </c>
      <c r="D64" s="1">
        <v>130.88</v>
      </c>
      <c r="E64" s="1">
        <v>198.12</v>
      </c>
      <c r="F64" s="1">
        <v>210.31</v>
      </c>
      <c r="G64" s="2">
        <f t="shared" ref="G64" si="8">(F64-E64)/E64</f>
        <v>6.1528366646476873E-2</v>
      </c>
      <c r="H64" s="2">
        <f t="shared" ref="H64" si="9">(F64-E58)/E58</f>
        <v>0.2303867080091265</v>
      </c>
    </row>
    <row r="65" spans="4:6" x14ac:dyDescent="0.2">
      <c r="D65" s="1"/>
      <c r="E65" s="1"/>
      <c r="F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tenth_opp</vt:lpstr>
      <vt:lpstr>no_opp</vt:lpstr>
      <vt:lpstr>w3</vt:lpstr>
      <vt:lpstr>stat_sig_w3_p2p1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2024-11-12T15:15:04Z</dcterms:created>
  <dcterms:modified xsi:type="dcterms:W3CDTF">2024-12-20T17:01:18Z</dcterms:modified>
</cp:coreProperties>
</file>